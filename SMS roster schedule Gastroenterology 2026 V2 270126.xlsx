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ompsa\Desktop\"/>
    </mc:Choice>
  </mc:AlternateContent>
  <bookViews>
    <workbookView xWindow="-105" yWindow="-105" windowWidth="22785" windowHeight="14535"/>
  </bookViews>
  <sheets>
    <sheet name="Sheet1" sheetId="1" r:id="rId1"/>
    <sheet name="Sheet2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2" i="1" l="1"/>
  <c r="L74" i="1"/>
  <c r="O73" i="1"/>
  <c r="O116" i="1"/>
  <c r="O118" i="1"/>
  <c r="O115" i="1"/>
  <c r="O114" i="1"/>
  <c r="O113" i="1"/>
  <c r="O112" i="1"/>
  <c r="O111" i="1"/>
  <c r="O110" i="1"/>
  <c r="O106" i="1"/>
  <c r="O105" i="1"/>
  <c r="O104" i="1"/>
  <c r="O103" i="1"/>
  <c r="O102" i="1"/>
  <c r="O101" i="1"/>
  <c r="O100" i="1"/>
  <c r="O99" i="1"/>
  <c r="O98" i="1"/>
  <c r="O96" i="1"/>
  <c r="O95" i="1"/>
  <c r="O93" i="1"/>
  <c r="O92" i="1"/>
  <c r="O91" i="1"/>
  <c r="O90" i="1"/>
  <c r="O89" i="1"/>
  <c r="O88" i="1"/>
  <c r="O87" i="1"/>
  <c r="O86" i="1"/>
  <c r="O85" i="1"/>
  <c r="O84" i="1"/>
  <c r="O83" i="1"/>
  <c r="O77" i="1"/>
  <c r="O78" i="1"/>
  <c r="O76" i="1"/>
  <c r="O75" i="1"/>
  <c r="O74" i="1"/>
  <c r="O72" i="1"/>
  <c r="R78" i="1"/>
  <c r="R77" i="1" l="1"/>
  <c r="R76" i="1"/>
  <c r="R75" i="1"/>
  <c r="R74" i="1"/>
  <c r="R73" i="1"/>
  <c r="L72" i="1"/>
  <c r="L73" i="1"/>
  <c r="T72" i="1"/>
  <c r="T78" i="1"/>
  <c r="T77" i="1"/>
  <c r="T76" i="1"/>
  <c r="T75" i="1"/>
  <c r="T74" i="1"/>
  <c r="T73" i="1"/>
  <c r="L10" i="1" l="1"/>
  <c r="L11" i="1"/>
  <c r="L12" i="1"/>
  <c r="L13" i="1"/>
  <c r="L14" i="1"/>
  <c r="L15" i="1"/>
  <c r="U10" i="1"/>
  <c r="U11" i="1"/>
  <c r="U12" i="1"/>
  <c r="U13" i="1"/>
  <c r="U14" i="1"/>
  <c r="U15" i="1"/>
  <c r="S10" i="1"/>
  <c r="S11" i="1"/>
  <c r="S12" i="1"/>
  <c r="S13" i="1"/>
  <c r="S14" i="1"/>
  <c r="S15" i="1"/>
  <c r="Q10" i="1"/>
  <c r="Q11" i="1"/>
  <c r="Q12" i="1"/>
  <c r="Q13" i="1"/>
  <c r="Q14" i="1"/>
  <c r="Q15" i="1"/>
  <c r="N15" i="1"/>
  <c r="N14" i="1"/>
  <c r="N13" i="1"/>
  <c r="N12" i="1"/>
</calcChain>
</file>

<file path=xl/sharedStrings.xml><?xml version="1.0" encoding="utf-8"?>
<sst xmlns="http://schemas.openxmlformats.org/spreadsheetml/2006/main" count="471" uniqueCount="195">
  <si>
    <t>Notes</t>
  </si>
  <si>
    <t>Maternity leave</t>
  </si>
  <si>
    <t>Sabbatical</t>
  </si>
  <si>
    <t>Jess Howell</t>
  </si>
  <si>
    <t>Bronte Holt</t>
  </si>
  <si>
    <t>Conferences</t>
  </si>
  <si>
    <t>Registrar leave</t>
  </si>
  <si>
    <t>Cover</t>
  </si>
  <si>
    <t>H&amp;M oncall</t>
  </si>
  <si>
    <t>Wards</t>
  </si>
  <si>
    <t>Consults</t>
  </si>
  <si>
    <t>Public holidays</t>
  </si>
  <si>
    <t>Monday</t>
  </si>
  <si>
    <t>Registrar</t>
  </si>
  <si>
    <t>Consultant</t>
  </si>
  <si>
    <t>IBD-gastro</t>
  </si>
  <si>
    <t>Liver-gastro</t>
  </si>
  <si>
    <t>Christmas, Boxing day</t>
  </si>
  <si>
    <t>Christmas</t>
  </si>
  <si>
    <t>Linda Yang</t>
  </si>
  <si>
    <t>Alex Thompson</t>
  </si>
  <si>
    <t>New Year</t>
  </si>
  <si>
    <t>Chamara Basnayake</t>
  </si>
  <si>
    <t>Ola Niewiadomski</t>
  </si>
  <si>
    <t>David Iser</t>
  </si>
  <si>
    <t>Emily Wright</t>
  </si>
  <si>
    <t>Grace Lovett</t>
  </si>
  <si>
    <t>Tim Papaluca</t>
  </si>
  <si>
    <t>Jacinta Holmes</t>
  </si>
  <si>
    <t>Australia Day</t>
  </si>
  <si>
    <t>Sasha Fehily</t>
  </si>
  <si>
    <t>Julien Schulberg</t>
  </si>
  <si>
    <t>Fiona Jones</t>
  </si>
  <si>
    <t>John Ding</t>
  </si>
  <si>
    <t>Ashley Miller</t>
  </si>
  <si>
    <t>Emma Flanagan</t>
  </si>
  <si>
    <t>Labour Day</t>
  </si>
  <si>
    <t>Imogen Hartley</t>
  </si>
  <si>
    <t>Barb Demediuk</t>
  </si>
  <si>
    <t>Marno Ryan</t>
  </si>
  <si>
    <t xml:space="preserve">Marno Ryan </t>
  </si>
  <si>
    <t>Georgie Cameron</t>
  </si>
  <si>
    <t>Ed Tsoi</t>
  </si>
  <si>
    <t>Michael De Gregorio</t>
  </si>
  <si>
    <t>King's B'day</t>
  </si>
  <si>
    <t>Mark Lust</t>
  </si>
  <si>
    <t>Tony He</t>
  </si>
  <si>
    <t>Tanya Lee</t>
  </si>
  <si>
    <t>Rob Chen</t>
  </si>
  <si>
    <t>Kathryn Gazelakis</t>
  </si>
  <si>
    <t>Thai Hong</t>
  </si>
  <si>
    <t>Melbourne Cup</t>
  </si>
  <si>
    <t>Andrew Taylor</t>
  </si>
  <si>
    <t>Imogen Hartley Mon-Wed/Fiona Jones Thurs-Sun</t>
  </si>
  <si>
    <t>18 - 21 February</t>
  </si>
  <si>
    <t>ECCO Stockholm</t>
  </si>
  <si>
    <t>WHS Bangkok</t>
  </si>
  <si>
    <t>28 - 30 April</t>
  </si>
  <si>
    <t>APASL Istanbul</t>
  </si>
  <si>
    <t>22 - 25 April</t>
  </si>
  <si>
    <t>EASL Barcelona</t>
  </si>
  <si>
    <t>27 - 30 May</t>
  </si>
  <si>
    <t>DDW San Diego</t>
  </si>
  <si>
    <t>2 -5 May</t>
  </si>
  <si>
    <t>28 - 31 August</t>
  </si>
  <si>
    <t>AGW Perth</t>
  </si>
  <si>
    <t>Mon 26</t>
  </si>
  <si>
    <t>Easter Monday</t>
  </si>
  <si>
    <t>Friday 25</t>
  </si>
  <si>
    <t>Christmas Day</t>
  </si>
  <si>
    <t>Boxing Day             N YD</t>
  </si>
  <si>
    <t>Monday 28      Thursday 01</t>
  </si>
  <si>
    <t>Tuesday 03</t>
  </si>
  <si>
    <t>Monday 08</t>
  </si>
  <si>
    <t>Monday 06</t>
  </si>
  <si>
    <t>Monday 09</t>
  </si>
  <si>
    <t>Grand final</t>
  </si>
  <si>
    <t>School back</t>
  </si>
  <si>
    <t>Tues 27</t>
  </si>
  <si>
    <t>School Holidays Good Friday</t>
  </si>
  <si>
    <t>Thurs 02        Friday 03</t>
  </si>
  <si>
    <t>School Holidays</t>
  </si>
  <si>
    <t>Monday 13</t>
  </si>
  <si>
    <t>Friday 26</t>
  </si>
  <si>
    <t>Friday 18</t>
  </si>
  <si>
    <t xml:space="preserve">School Holidays </t>
  </si>
  <si>
    <t>School returns</t>
  </si>
  <si>
    <t>Monday 05</t>
  </si>
  <si>
    <t>School year ends</t>
  </si>
  <si>
    <t>Gut Centre</t>
  </si>
  <si>
    <t>20 - 22 May</t>
  </si>
  <si>
    <t>Eva Dendrinos</t>
  </si>
  <si>
    <t>Nikil Vootukuru</t>
  </si>
  <si>
    <t>Dan Tassone</t>
  </si>
  <si>
    <t>Nick Clark</t>
  </si>
  <si>
    <t>Kyle Wu</t>
  </si>
  <si>
    <t>Tim Phan</t>
  </si>
  <si>
    <t>Tara Fox</t>
  </si>
  <si>
    <t xml:space="preserve">Monday 20 </t>
  </si>
  <si>
    <t>Saturday 25</t>
  </si>
  <si>
    <t>School Returns</t>
  </si>
  <si>
    <t>ANZAC (no holiday)</t>
  </si>
  <si>
    <t>Declan Connoly</t>
  </si>
  <si>
    <t>AASLD Denver</t>
  </si>
  <si>
    <t>5 - 9 November</t>
  </si>
  <si>
    <t>Hepatology roundtable</t>
  </si>
  <si>
    <t>Viral Hepatitis Perth</t>
  </si>
  <si>
    <t>12 - 14 August</t>
  </si>
  <si>
    <t>30 - 31 July</t>
  </si>
  <si>
    <t>3 - 4 Feb</t>
  </si>
  <si>
    <t>3 - 4 Mar</t>
  </si>
  <si>
    <t>31 Mar - 1 Apr</t>
  </si>
  <si>
    <t>28 - 29 Apr</t>
  </si>
  <si>
    <t xml:space="preserve">26 - 27 May </t>
  </si>
  <si>
    <t>23 - 24 Jun</t>
  </si>
  <si>
    <t xml:space="preserve">21 - 22 Jul </t>
  </si>
  <si>
    <t xml:space="preserve">18 - 19 Aug </t>
  </si>
  <si>
    <t>15 -16 Sep</t>
  </si>
  <si>
    <t>13 - 14 Oct</t>
  </si>
  <si>
    <t>5 - 6 Jan</t>
  </si>
  <si>
    <t>Ralley Prentice</t>
  </si>
  <si>
    <t>Dr Chamara Basnayake</t>
  </si>
  <si>
    <t>Dr Georgie Cameron</t>
  </si>
  <si>
    <t>Dr Robert Chen</t>
  </si>
  <si>
    <t>Dr Swee Lin Chen Yi Mei</t>
  </si>
  <si>
    <t>Assoc Prof Bill Connell</t>
  </si>
  <si>
    <t>Dr Catherine Croagh</t>
  </si>
  <si>
    <t>Dr Barbara Demediuk</t>
  </si>
  <si>
    <t>Assoc Prof Paul Desmond</t>
  </si>
  <si>
    <t>Assoc Prof John Nik Ding</t>
  </si>
  <si>
    <t>Dr Emma Flanagan</t>
  </si>
  <si>
    <t>Assoc Prof Jacinta Holmes</t>
  </si>
  <si>
    <t>Assoc Prof Bronte Holt</t>
  </si>
  <si>
    <t>Dr Thai Hong</t>
  </si>
  <si>
    <t>Assoc Prof Jessica Howell</t>
  </si>
  <si>
    <t>Dr David Iser</t>
  </si>
  <si>
    <t>Dr Fiona Jones</t>
  </si>
  <si>
    <t>Prof Michael Kamm</t>
  </si>
  <si>
    <t>Dr Mark Lust</t>
  </si>
  <si>
    <t>Dr Suzanne Mahady</t>
  </si>
  <si>
    <t>Assoc Prof Ashley Miller</t>
  </si>
  <si>
    <t>Dr Ola Niewiadomski</t>
  </si>
  <si>
    <t>Dr Tim Papaluca</t>
  </si>
  <si>
    <t>Assoc Prof Marno Ryan</t>
  </si>
  <si>
    <t>Dr Julien Schulberg</t>
  </si>
  <si>
    <t>Assoc Prof Andrew Taylor</t>
  </si>
  <si>
    <t>Dr Edward Tsoi</t>
  </si>
  <si>
    <t>Assoc Prof Emily Wright</t>
  </si>
  <si>
    <t>Dr Linda Yang</t>
  </si>
  <si>
    <t>Dr Kyle Wu</t>
  </si>
  <si>
    <t>RESEARCH FELLOWS</t>
  </si>
  <si>
    <t>Dr Lauren Andersson</t>
  </si>
  <si>
    <t>Dr Kathryn Gazelakis</t>
  </si>
  <si>
    <t>Dr Ann Farrell</t>
  </si>
  <si>
    <t>Dr Sasha Fehily</t>
  </si>
  <si>
    <t>Dr Imogen Hartley</t>
  </si>
  <si>
    <t>Dr Tanya Lee</t>
  </si>
  <si>
    <t>Dr Grace Lovett</t>
  </si>
  <si>
    <t>Dr Tara Fox</t>
  </si>
  <si>
    <t>Dr Tim Pham</t>
  </si>
  <si>
    <t>Dr Nick Clark</t>
  </si>
  <si>
    <t>Dr Tony He</t>
  </si>
  <si>
    <t>Dr Sara Romero</t>
  </si>
  <si>
    <t>Dr Ralley Prentice</t>
  </si>
  <si>
    <t>Dr Michael De Gregorio</t>
  </si>
  <si>
    <t>Dr Declan Connoley</t>
  </si>
  <si>
    <t>Prof. Alex Thompson</t>
  </si>
  <si>
    <t>Prof Alex Thompson</t>
  </si>
  <si>
    <t>Ann Farrell</t>
  </si>
  <si>
    <t>Dr Tim Phan</t>
  </si>
  <si>
    <t>Prof Jessica Howell</t>
  </si>
  <si>
    <t>10 - 11 Nov</t>
  </si>
  <si>
    <t>8 - 9 Dec</t>
  </si>
  <si>
    <t>Dan T</t>
  </si>
  <si>
    <t>Eva D</t>
  </si>
  <si>
    <t>Nik V</t>
  </si>
  <si>
    <t>Eva Dendrinos 24 - 26
Dan Tassone 27 - 30</t>
  </si>
  <si>
    <t>Dan Tassone 7 - 9 Sep
Eva Dendrinos 10 - 13 Sep</t>
  </si>
  <si>
    <t>Mon - Wed Ola Niewiadomski
Thur - Sun Jess Howell</t>
  </si>
  <si>
    <t>Mon - Wed John Ding
Thur - Sun Barb Demediuk</t>
  </si>
  <si>
    <t>Mon - Wed Sasha Fehily
Thur - Sun David Iser</t>
  </si>
  <si>
    <t>Catherine Croagh</t>
  </si>
  <si>
    <t>SweeLin Chen Yi Mei</t>
  </si>
  <si>
    <t>Robert Chen*</t>
  </si>
  <si>
    <t>Alex 
Alice Springs</t>
  </si>
  <si>
    <t>Iser 
Bairnsdale
* 2 weeks bf B best</t>
  </si>
  <si>
    <t>16 - 20 Feb</t>
  </si>
  <si>
    <t>18 - 22 May</t>
  </si>
  <si>
    <t>19 - 21 Oct</t>
  </si>
  <si>
    <t>23 - 27 Nov?</t>
  </si>
  <si>
    <t>GESA board 
Sun 15 Nov</t>
  </si>
  <si>
    <t>GESA board 
Mon 31 Aug</t>
  </si>
  <si>
    <t>GESA board 
Fri 22 May</t>
  </si>
  <si>
    <t>GESA board 
Fri 27 Mar</t>
  </si>
  <si>
    <t>GESA board 
Fri 13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</si>
</sst>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/>
    <xf numFmtId="0" fontId="3" fillId="0" borderId="1" xfId="0" applyFont="1" applyBorder="1"/>
    <xf numFmtId="0" fontId="0" fillId="4" borderId="1" xfId="0" applyFill="1" applyBorder="1" applyAlignment="1">
      <alignment wrapText="1"/>
    </xf>
    <xf numFmtId="0" fontId="0" fillId="5" borderId="0" xfId="0" applyFill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4" borderId="0" xfId="0" applyFill="1"/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" fontId="1" fillId="0" borderId="1" xfId="0" applyNumberFormat="1" applyFont="1" applyBorder="1" applyAlignment="1">
      <alignment horizontal="left" wrapText="1"/>
    </xf>
    <xf numFmtId="0" fontId="3" fillId="5" borderId="1" xfId="0" applyFont="1" applyFill="1" applyBorder="1" applyAlignment="1">
      <alignment horizontal="center"/>
    </xf>
    <xf numFmtId="164" fontId="0" fillId="0" borderId="0" xfId="0" applyNumberFormat="1"/>
    <xf numFmtId="164" fontId="2" fillId="0" borderId="0" xfId="0" applyNumberFormat="1" applyFont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/>
    </xf>
    <xf numFmtId="0" fontId="1" fillId="5" borderId="0" xfId="0" applyFont="1" applyFill="1"/>
    <xf numFmtId="16" fontId="1" fillId="5" borderId="1" xfId="0" applyNumberFormat="1" applyFont="1" applyFill="1" applyBorder="1" applyAlignment="1">
      <alignment horizontal="left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0" xfId="0" applyFont="1" applyFill="1"/>
    <xf numFmtId="0" fontId="3" fillId="5" borderId="1" xfId="0" applyFont="1" applyFill="1" applyBorder="1"/>
    <xf numFmtId="0" fontId="1" fillId="5" borderId="0" xfId="0" applyFont="1" applyFill="1" applyAlignment="1">
      <alignment wrapText="1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5" borderId="1" xfId="0" applyFont="1" applyFill="1" applyBorder="1" applyAlignment="1">
      <alignment wrapText="1"/>
    </xf>
    <xf numFmtId="0" fontId="3" fillId="5" borderId="0" xfId="0" applyFont="1" applyFill="1" applyAlignment="1">
      <alignment horizontal="center"/>
    </xf>
    <xf numFmtId="0" fontId="0" fillId="6" borderId="1" xfId="0" applyFill="1" applyBorder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4" borderId="3" xfId="0" applyFill="1" applyBorder="1" applyAlignment="1">
      <alignment horizontal="center"/>
    </xf>
    <xf numFmtId="0" fontId="0" fillId="2" borderId="0" xfId="0" applyFill="1"/>
    <xf numFmtId="0" fontId="2" fillId="4" borderId="1" xfId="0" applyFont="1" applyFill="1" applyBorder="1"/>
    <xf numFmtId="0" fontId="4" fillId="4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4" fillId="5" borderId="2" xfId="0" applyFont="1" applyFill="1" applyBorder="1" applyAlignment="1">
      <alignment horizontal="center"/>
    </xf>
    <xf numFmtId="0" fontId="5" fillId="4" borderId="1" xfId="0" applyFont="1" applyFill="1" applyBorder="1"/>
    <xf numFmtId="0" fontId="4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wrapText="1"/>
    </xf>
    <xf numFmtId="0" fontId="2" fillId="5" borderId="0" xfId="0" applyFont="1" applyFill="1"/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0" fontId="4" fillId="5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ecialist%20&amp;%20Crit%20Care\Gastro\Operational\Rosters\2025\Copy%20of%20Draft%20semester%202%20roster%20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62">
          <cell r="I62" t="str">
            <v>Kyle Wu</v>
          </cell>
          <cell r="N62" t="str">
            <v>Sasha Fehily</v>
          </cell>
          <cell r="Q62" t="str">
            <v>Marno Ryan</v>
          </cell>
          <cell r="S62" t="str">
            <v>Marno Ryan</v>
          </cell>
        </row>
        <row r="63">
          <cell r="I63" t="str">
            <v>Nick Clark</v>
          </cell>
          <cell r="N63" t="str">
            <v>Emma Flanagan</v>
          </cell>
          <cell r="Q63" t="str">
            <v>David Iser</v>
          </cell>
          <cell r="S63" t="str">
            <v>Emma Flanagan</v>
          </cell>
        </row>
        <row r="64">
          <cell r="I64" t="str">
            <v>Ritchie Gupta</v>
          </cell>
          <cell r="K64" t="str">
            <v>Kathryn Gazelakis</v>
          </cell>
          <cell r="N64" t="str">
            <v>Chamara Basnayake</v>
          </cell>
          <cell r="Q64" t="str">
            <v>Barb Demediuk</v>
          </cell>
          <cell r="S64" t="str">
            <v>*Alex Mon-Wed/Jacinta Thurs-Fri</v>
          </cell>
        </row>
        <row r="65">
          <cell r="I65" t="str">
            <v>Kyle Wu</v>
          </cell>
          <cell r="K65" t="str">
            <v>Rob Chen</v>
          </cell>
          <cell r="N65" t="str">
            <v>Sasha Fehily</v>
          </cell>
          <cell r="Q65" t="str">
            <v>Tim Papaluca</v>
          </cell>
          <cell r="S65" t="str">
            <v>Jacinta Mon-Wed/Emily Thurs-Fri</v>
          </cell>
        </row>
        <row r="66">
          <cell r="I66" t="str">
            <v>Nick Clark</v>
          </cell>
          <cell r="K66" t="str">
            <v>Tony He</v>
          </cell>
          <cell r="N66" t="str">
            <v>Julien Schulberg</v>
          </cell>
          <cell r="Q66" t="str">
            <v>Lauren Andersson</v>
          </cell>
          <cell r="S66" t="str">
            <v>Sasha</v>
          </cell>
        </row>
        <row r="67">
          <cell r="I67" t="str">
            <v>Ritchie Gupta</v>
          </cell>
          <cell r="K67" t="str">
            <v>Ed Tsoi</v>
          </cell>
          <cell r="N67" t="str">
            <v>Fiona Jones</v>
          </cell>
          <cell r="Q67" t="str">
            <v>Lauren Andersson</v>
          </cell>
          <cell r="S67" t="str">
            <v>Lauren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6"/>
  <sheetViews>
    <sheetView tabSelected="1" topLeftCell="B10" zoomScale="75" zoomScaleNormal="75" workbookViewId="0">
      <selection activeCell="Q32" sqref="Q32"/>
    </sheetView>
  </sheetViews>
  <sheetFormatPr defaultRowHeight="15" x14ac:dyDescent="0.25"/>
  <cols>
    <col min="1" max="1" width="18.7109375" customWidth="1"/>
    <col min="2" max="2" width="16.42578125" customWidth="1"/>
    <col min="3" max="3" width="19.28515625" style="37" customWidth="1"/>
    <col min="4" max="4" width="4.7109375" customWidth="1"/>
    <col min="5" max="5" width="16" customWidth="1"/>
    <col min="6" max="7" width="17.28515625" customWidth="1"/>
    <col min="8" max="9" width="17.28515625" style="60" customWidth="1"/>
    <col min="10" max="12" width="17.28515625" style="2" customWidth="1"/>
    <col min="13" max="13" width="17.28515625" customWidth="1"/>
    <col min="14" max="15" width="17.28515625" style="2" customWidth="1"/>
    <col min="16" max="19" width="17.28515625" customWidth="1"/>
    <col min="20" max="20" width="16.5703125" customWidth="1"/>
    <col min="21" max="21" width="30.140625" style="2" customWidth="1"/>
  </cols>
  <sheetData>
    <row r="1" spans="1:25" x14ac:dyDescent="0.25">
      <c r="A1" s="1" t="s">
        <v>0</v>
      </c>
      <c r="B1" s="1" t="s">
        <v>1</v>
      </c>
    </row>
    <row r="2" spans="1:25" x14ac:dyDescent="0.25">
      <c r="B2" s="1" t="s">
        <v>2</v>
      </c>
      <c r="C2" s="37" t="s">
        <v>41</v>
      </c>
    </row>
    <row r="3" spans="1:25" x14ac:dyDescent="0.25">
      <c r="B3" s="1" t="s">
        <v>2</v>
      </c>
      <c r="C3" s="37" t="s">
        <v>181</v>
      </c>
    </row>
    <row r="4" spans="1:25" x14ac:dyDescent="0.25">
      <c r="B4" s="1"/>
      <c r="C4" s="37" t="s">
        <v>182</v>
      </c>
    </row>
    <row r="5" spans="1:25" x14ac:dyDescent="0.25">
      <c r="B5" s="1"/>
      <c r="C5" s="37" t="s">
        <v>183</v>
      </c>
    </row>
    <row r="6" spans="1:25" x14ac:dyDescent="0.25">
      <c r="B6" s="1"/>
    </row>
    <row r="8" spans="1:25" ht="45" x14ac:dyDescent="0.25">
      <c r="A8" s="1"/>
      <c r="B8" s="1"/>
      <c r="C8" s="38"/>
      <c r="D8" s="1"/>
      <c r="E8" s="1"/>
      <c r="F8" s="1" t="s">
        <v>5</v>
      </c>
      <c r="H8" s="72" t="s">
        <v>185</v>
      </c>
      <c r="I8" s="72" t="s">
        <v>184</v>
      </c>
      <c r="J8" s="3" t="s">
        <v>6</v>
      </c>
      <c r="K8" s="3" t="s">
        <v>7</v>
      </c>
      <c r="L8" s="4"/>
      <c r="M8" s="4"/>
      <c r="N8" s="4" t="s">
        <v>8</v>
      </c>
      <c r="O8" s="6"/>
      <c r="Q8" s="5"/>
      <c r="R8" s="4" t="s">
        <v>9</v>
      </c>
      <c r="S8" s="6"/>
      <c r="T8" s="2"/>
      <c r="U8" s="4" t="s">
        <v>10</v>
      </c>
    </row>
    <row r="9" spans="1:25" x14ac:dyDescent="0.25">
      <c r="A9" s="1" t="s">
        <v>11</v>
      </c>
      <c r="B9" s="1"/>
      <c r="C9" s="38" t="s">
        <v>12</v>
      </c>
      <c r="L9" s="7" t="s">
        <v>13</v>
      </c>
      <c r="M9" s="7"/>
      <c r="N9" s="8" t="s">
        <v>14</v>
      </c>
      <c r="O9" s="8"/>
      <c r="P9" s="1"/>
      <c r="Q9" s="8" t="s">
        <v>15</v>
      </c>
      <c r="R9" s="7"/>
      <c r="S9" s="7" t="s">
        <v>16</v>
      </c>
      <c r="T9" s="3"/>
      <c r="U9" s="7"/>
      <c r="V9" s="1"/>
      <c r="W9" s="3"/>
      <c r="Y9" s="1"/>
    </row>
    <row r="10" spans="1:25" s="10" customFormat="1" x14ac:dyDescent="0.25">
      <c r="A10" s="9" t="s">
        <v>17</v>
      </c>
      <c r="B10" s="9"/>
      <c r="C10" s="39">
        <v>46013</v>
      </c>
      <c r="F10" s="10" t="s">
        <v>18</v>
      </c>
      <c r="H10" s="61"/>
      <c r="I10" s="61"/>
      <c r="J10" s="11"/>
      <c r="K10" s="11"/>
      <c r="L10" s="11" t="str">
        <f>[1]Sheet1!I62</f>
        <v>Kyle Wu</v>
      </c>
      <c r="N10" s="11" t="s">
        <v>47</v>
      </c>
      <c r="O10" s="11"/>
      <c r="Q10" s="10" t="str">
        <f>[1]Sheet1!N62</f>
        <v>Sasha Fehily</v>
      </c>
      <c r="S10" s="10" t="str">
        <f>[1]Sheet1!Q62</f>
        <v>Marno Ryan</v>
      </c>
      <c r="U10" s="11" t="str">
        <f>[1]Sheet1!S62</f>
        <v>Marno Ryan</v>
      </c>
    </row>
    <row r="11" spans="1:25" s="10" customFormat="1" x14ac:dyDescent="0.25">
      <c r="C11" s="39">
        <v>46020</v>
      </c>
      <c r="F11" s="10" t="s">
        <v>21</v>
      </c>
      <c r="H11" s="61"/>
      <c r="I11" s="61"/>
      <c r="J11" s="11"/>
      <c r="K11" s="11"/>
      <c r="L11" s="11" t="str">
        <f>[1]Sheet1!I63</f>
        <v>Nick Clark</v>
      </c>
      <c r="N11" s="11" t="s">
        <v>53</v>
      </c>
      <c r="O11" s="11"/>
      <c r="Q11" s="10" t="str">
        <f>[1]Sheet1!N63</f>
        <v>Emma Flanagan</v>
      </c>
      <c r="S11" s="10" t="str">
        <f>[1]Sheet1!Q63</f>
        <v>David Iser</v>
      </c>
      <c r="U11" s="11" t="str">
        <f>[1]Sheet1!S63</f>
        <v>Emma Flanagan</v>
      </c>
    </row>
    <row r="12" spans="1:25" s="10" customFormat="1" x14ac:dyDescent="0.25">
      <c r="C12" s="39">
        <v>46027</v>
      </c>
      <c r="H12" s="61"/>
      <c r="I12" s="61"/>
      <c r="J12" s="11"/>
      <c r="K12" s="11"/>
      <c r="L12" s="11" t="str">
        <f>[1]Sheet1!I64</f>
        <v>Ritchie Gupta</v>
      </c>
      <c r="N12" s="11" t="str">
        <f>[1]Sheet1!$K$64</f>
        <v>Kathryn Gazelakis</v>
      </c>
      <c r="O12" s="11"/>
      <c r="Q12" s="10" t="str">
        <f>[1]Sheet1!N64</f>
        <v>Chamara Basnayake</v>
      </c>
      <c r="S12" s="10" t="str">
        <f>[1]Sheet1!Q64</f>
        <v>Barb Demediuk</v>
      </c>
      <c r="U12" s="11" t="str">
        <f>[1]Sheet1!S64</f>
        <v>*Alex Mon-Wed/Jacinta Thurs-Fri</v>
      </c>
    </row>
    <row r="13" spans="1:25" s="10" customFormat="1" x14ac:dyDescent="0.25">
      <c r="C13" s="39">
        <v>46034</v>
      </c>
      <c r="H13" s="61"/>
      <c r="I13" s="61"/>
      <c r="J13" s="11"/>
      <c r="K13" s="11"/>
      <c r="L13" s="11" t="str">
        <f>[1]Sheet1!I65</f>
        <v>Kyle Wu</v>
      </c>
      <c r="N13" s="11" t="str">
        <f>[1]Sheet1!$K$65</f>
        <v>Rob Chen</v>
      </c>
      <c r="O13" s="11"/>
      <c r="Q13" s="10" t="str">
        <f>[1]Sheet1!N65</f>
        <v>Sasha Fehily</v>
      </c>
      <c r="S13" s="10" t="str">
        <f>[1]Sheet1!Q65</f>
        <v>Tim Papaluca</v>
      </c>
      <c r="U13" s="11" t="str">
        <f>[1]Sheet1!S65</f>
        <v>Jacinta Mon-Wed/Emily Thurs-Fri</v>
      </c>
    </row>
    <row r="14" spans="1:25" s="10" customFormat="1" x14ac:dyDescent="0.25">
      <c r="C14" s="39">
        <v>46041</v>
      </c>
      <c r="H14" s="61"/>
      <c r="I14" s="61"/>
      <c r="J14" s="11"/>
      <c r="K14" s="11"/>
      <c r="L14" s="11" t="str">
        <f>[1]Sheet1!I66</f>
        <v>Nick Clark</v>
      </c>
      <c r="N14" s="11" t="str">
        <f>[1]Sheet1!$K$66</f>
        <v>Tony He</v>
      </c>
      <c r="O14" s="11"/>
      <c r="Q14" s="10" t="str">
        <f>[1]Sheet1!N66</f>
        <v>Julien Schulberg</v>
      </c>
      <c r="S14" s="10" t="str">
        <f>[1]Sheet1!Q66</f>
        <v>Lauren Andersson</v>
      </c>
      <c r="U14" s="11" t="str">
        <f>[1]Sheet1!S66</f>
        <v>Sasha</v>
      </c>
    </row>
    <row r="15" spans="1:25" s="10" customFormat="1" x14ac:dyDescent="0.25">
      <c r="A15" s="10" t="s">
        <v>29</v>
      </c>
      <c r="B15" s="10" t="s">
        <v>66</v>
      </c>
      <c r="C15" s="39">
        <v>46048</v>
      </c>
      <c r="H15" s="61"/>
      <c r="I15" s="61"/>
      <c r="J15" s="11"/>
      <c r="K15" s="11"/>
      <c r="L15" s="11" t="str">
        <f>[1]Sheet1!I67</f>
        <v>Ritchie Gupta</v>
      </c>
      <c r="N15" s="11" t="str">
        <f>[1]Sheet1!$K$67</f>
        <v>Ed Tsoi</v>
      </c>
      <c r="O15" s="11"/>
      <c r="Q15" s="10" t="str">
        <f>[1]Sheet1!N67</f>
        <v>Fiona Jones</v>
      </c>
      <c r="S15" s="10" t="str">
        <f>[1]Sheet1!Q67</f>
        <v>Lauren Andersson</v>
      </c>
      <c r="U15" s="11" t="str">
        <f>[1]Sheet1!S67</f>
        <v>Lauren</v>
      </c>
    </row>
    <row r="16" spans="1:25" x14ac:dyDescent="0.25">
      <c r="A16" s="16" t="s">
        <v>77</v>
      </c>
      <c r="B16" s="17" t="s">
        <v>78</v>
      </c>
      <c r="C16" s="39">
        <v>46055</v>
      </c>
      <c r="D16" s="18">
        <v>1</v>
      </c>
      <c r="E16" s="18"/>
      <c r="F16" s="13"/>
      <c r="G16" s="13"/>
      <c r="H16" s="62" t="s">
        <v>109</v>
      </c>
      <c r="I16" s="14"/>
      <c r="J16" s="14"/>
      <c r="K16" s="14"/>
      <c r="L16" s="14"/>
      <c r="M16" s="13"/>
      <c r="N16" s="54" t="s">
        <v>41</v>
      </c>
      <c r="O16" s="55"/>
      <c r="P16" s="13"/>
      <c r="Q16" s="29" t="s">
        <v>25</v>
      </c>
      <c r="R16" s="13"/>
      <c r="S16" s="13" t="s">
        <v>28</v>
      </c>
      <c r="T16" s="13"/>
      <c r="U16" s="14" t="s">
        <v>25</v>
      </c>
    </row>
    <row r="17" spans="1:21" ht="30" x14ac:dyDescent="0.25">
      <c r="B17" s="12"/>
      <c r="C17" s="39">
        <v>46062</v>
      </c>
      <c r="D17" s="18">
        <v>2</v>
      </c>
      <c r="E17" s="91" t="s">
        <v>194</v>
      </c>
      <c r="F17" s="13"/>
      <c r="G17" s="13"/>
      <c r="H17" s="63"/>
      <c r="I17" s="63"/>
      <c r="J17" s="14"/>
      <c r="K17" s="14"/>
      <c r="L17" s="33" t="s">
        <v>93</v>
      </c>
      <c r="M17" s="75"/>
      <c r="N17" s="76" t="s">
        <v>28</v>
      </c>
      <c r="O17" s="14"/>
      <c r="P17" s="13"/>
      <c r="Q17" s="29" t="s">
        <v>25</v>
      </c>
      <c r="R17" s="13"/>
      <c r="S17" s="13" t="s">
        <v>28</v>
      </c>
      <c r="T17" s="13"/>
      <c r="U17" s="14" t="s">
        <v>25</v>
      </c>
    </row>
    <row r="18" spans="1:21" x14ac:dyDescent="0.25">
      <c r="B18" s="12"/>
      <c r="C18" s="39">
        <v>46069</v>
      </c>
      <c r="D18" s="18">
        <v>3</v>
      </c>
      <c r="E18" s="18"/>
      <c r="F18" s="13" t="s">
        <v>55</v>
      </c>
      <c r="G18" s="13" t="s">
        <v>54</v>
      </c>
      <c r="H18" s="63"/>
      <c r="I18" s="62" t="s">
        <v>186</v>
      </c>
      <c r="J18" s="33"/>
      <c r="K18" s="33"/>
      <c r="L18" s="14"/>
      <c r="M18" s="13"/>
      <c r="N18" s="54" t="s">
        <v>96</v>
      </c>
      <c r="O18" s="14"/>
      <c r="P18" s="13"/>
      <c r="Q18" s="29" t="s">
        <v>35</v>
      </c>
      <c r="R18" s="13"/>
      <c r="S18" s="20" t="s">
        <v>3</v>
      </c>
      <c r="T18" s="13"/>
      <c r="U18" s="14" t="s">
        <v>28</v>
      </c>
    </row>
    <row r="19" spans="1:21" x14ac:dyDescent="0.25">
      <c r="B19" s="12"/>
      <c r="C19" s="39">
        <v>46076</v>
      </c>
      <c r="D19" s="18">
        <v>4</v>
      </c>
      <c r="E19" s="18"/>
      <c r="F19" s="13"/>
      <c r="G19" s="13"/>
      <c r="H19" s="63"/>
      <c r="I19" s="63"/>
      <c r="J19" s="33"/>
      <c r="K19" s="33"/>
      <c r="L19" s="77" t="s">
        <v>92</v>
      </c>
      <c r="M19" s="75"/>
      <c r="N19" s="76" t="s">
        <v>33</v>
      </c>
      <c r="O19" s="14"/>
      <c r="P19" s="13"/>
      <c r="Q19" s="30" t="s">
        <v>35</v>
      </c>
      <c r="R19" s="13"/>
      <c r="S19" s="20" t="s">
        <v>3</v>
      </c>
      <c r="T19" s="13"/>
      <c r="U19" s="14" t="s">
        <v>28</v>
      </c>
    </row>
    <row r="20" spans="1:21" x14ac:dyDescent="0.25">
      <c r="B20" s="12"/>
      <c r="C20" s="39">
        <v>46083</v>
      </c>
      <c r="D20" s="18">
        <v>5</v>
      </c>
      <c r="E20" s="18"/>
      <c r="F20" s="13"/>
      <c r="G20" s="13"/>
      <c r="H20" s="62" t="s">
        <v>110</v>
      </c>
      <c r="I20" s="63"/>
      <c r="J20" s="14"/>
      <c r="K20" s="14"/>
      <c r="L20" s="14"/>
      <c r="M20" s="13"/>
      <c r="N20" s="42" t="s">
        <v>95</v>
      </c>
      <c r="O20" s="14"/>
      <c r="P20" s="15"/>
      <c r="Q20" s="29" t="s">
        <v>33</v>
      </c>
      <c r="R20" s="13"/>
      <c r="S20" s="20" t="s">
        <v>20</v>
      </c>
      <c r="T20" s="13"/>
      <c r="U20" s="14" t="s">
        <v>20</v>
      </c>
    </row>
    <row r="21" spans="1:21" s="16" customFormat="1" x14ac:dyDescent="0.25">
      <c r="A21" s="16" t="s">
        <v>36</v>
      </c>
      <c r="B21" s="17" t="s">
        <v>75</v>
      </c>
      <c r="C21" s="39">
        <v>46090</v>
      </c>
      <c r="D21" s="18">
        <v>6</v>
      </c>
      <c r="E21" s="18"/>
      <c r="F21" s="18"/>
      <c r="G21" s="18"/>
      <c r="H21" s="64"/>
      <c r="I21" s="64"/>
      <c r="J21" s="19"/>
      <c r="K21" s="19"/>
      <c r="L21" s="33" t="s">
        <v>91</v>
      </c>
      <c r="M21" s="75"/>
      <c r="N21" s="76" t="s">
        <v>20</v>
      </c>
      <c r="O21" s="14"/>
      <c r="P21" s="18"/>
      <c r="Q21" s="29" t="s">
        <v>33</v>
      </c>
      <c r="R21" s="18"/>
      <c r="S21" s="20" t="s">
        <v>20</v>
      </c>
      <c r="T21" s="13"/>
      <c r="U21" s="14" t="s">
        <v>20</v>
      </c>
    </row>
    <row r="22" spans="1:21" x14ac:dyDescent="0.25">
      <c r="B22" s="12"/>
      <c r="C22" s="39">
        <v>46097</v>
      </c>
      <c r="D22" s="18">
        <v>7</v>
      </c>
      <c r="E22" s="18"/>
      <c r="F22" s="13"/>
      <c r="G22" s="13"/>
      <c r="H22" s="63"/>
      <c r="I22" s="63"/>
      <c r="J22" s="87" t="s">
        <v>173</v>
      </c>
      <c r="K22" s="14"/>
      <c r="L22" s="14"/>
      <c r="M22" s="13"/>
      <c r="N22" s="34" t="s">
        <v>120</v>
      </c>
      <c r="O22" s="14"/>
      <c r="P22" s="13"/>
      <c r="Q22" s="30" t="s">
        <v>22</v>
      </c>
      <c r="R22" s="13"/>
      <c r="S22" s="59" t="s">
        <v>24</v>
      </c>
      <c r="T22" s="13"/>
      <c r="U22" s="14" t="s">
        <v>25</v>
      </c>
    </row>
    <row r="23" spans="1:21" ht="30" x14ac:dyDescent="0.25">
      <c r="B23" s="12"/>
      <c r="C23" s="39">
        <v>46104</v>
      </c>
      <c r="D23" s="18">
        <v>8</v>
      </c>
      <c r="E23" s="91" t="s">
        <v>193</v>
      </c>
      <c r="F23" s="32"/>
      <c r="G23" s="13"/>
      <c r="H23" s="63"/>
      <c r="I23" s="63"/>
      <c r="J23" s="87" t="s">
        <v>173</v>
      </c>
      <c r="L23" s="81" t="s">
        <v>92</v>
      </c>
      <c r="M23" s="75"/>
      <c r="N23" s="88" t="s">
        <v>24</v>
      </c>
      <c r="O23" s="14"/>
      <c r="P23" s="13"/>
      <c r="Q23" s="30" t="s">
        <v>22</v>
      </c>
      <c r="R23" s="13"/>
      <c r="S23" s="59" t="s">
        <v>24</v>
      </c>
      <c r="T23" s="13"/>
      <c r="U23" s="14" t="s">
        <v>25</v>
      </c>
    </row>
    <row r="24" spans="1:21" ht="29.25" customHeight="1" x14ac:dyDescent="0.25">
      <c r="A24" s="21" t="s">
        <v>79</v>
      </c>
      <c r="B24" s="35" t="s">
        <v>80</v>
      </c>
      <c r="C24" s="39">
        <v>46111</v>
      </c>
      <c r="D24" s="18">
        <v>9</v>
      </c>
      <c r="E24" s="18"/>
      <c r="F24" s="13"/>
      <c r="G24" s="13"/>
      <c r="H24" s="62" t="s">
        <v>111</v>
      </c>
      <c r="I24" s="63"/>
      <c r="J24" s="87" t="s">
        <v>173</v>
      </c>
      <c r="K24" s="14"/>
      <c r="L24" s="13"/>
      <c r="M24" s="13"/>
      <c r="N24" s="54" t="s">
        <v>32</v>
      </c>
      <c r="O24" s="15"/>
      <c r="P24" s="13"/>
      <c r="Q24" s="30" t="s">
        <v>30</v>
      </c>
      <c r="R24" s="20"/>
      <c r="S24" s="13" t="s">
        <v>27</v>
      </c>
      <c r="T24" s="20"/>
      <c r="U24" s="14" t="s">
        <v>20</v>
      </c>
    </row>
    <row r="25" spans="1:21" s="43" customFormat="1" x14ac:dyDescent="0.25">
      <c r="A25" s="43" t="s">
        <v>67</v>
      </c>
      <c r="B25" s="44" t="s">
        <v>74</v>
      </c>
      <c r="C25" s="40">
        <v>46118</v>
      </c>
      <c r="D25" s="45">
        <v>10</v>
      </c>
      <c r="E25" s="45"/>
      <c r="F25" s="45"/>
      <c r="G25" s="45"/>
      <c r="H25" s="65"/>
      <c r="I25" s="65"/>
      <c r="J25" s="87" t="s">
        <v>174</v>
      </c>
      <c r="K25" s="46"/>
      <c r="L25" s="89" t="s">
        <v>93</v>
      </c>
      <c r="M25" s="78"/>
      <c r="N25" s="79" t="s">
        <v>27</v>
      </c>
      <c r="O25" s="46"/>
      <c r="P25" s="45"/>
      <c r="Q25" s="47" t="s">
        <v>30</v>
      </c>
      <c r="R25" s="49"/>
      <c r="S25" s="27" t="s">
        <v>27</v>
      </c>
      <c r="T25" s="49"/>
      <c r="U25" s="28" t="s">
        <v>20</v>
      </c>
    </row>
    <row r="26" spans="1:21" s="43" customFormat="1" x14ac:dyDescent="0.25">
      <c r="A26" s="43" t="s">
        <v>81</v>
      </c>
      <c r="B26" s="45"/>
      <c r="C26" s="40">
        <v>46125</v>
      </c>
      <c r="D26" s="45">
        <v>11</v>
      </c>
      <c r="E26" s="45"/>
      <c r="F26" s="45"/>
      <c r="G26" s="45"/>
      <c r="H26" s="65"/>
      <c r="I26" s="65"/>
      <c r="J26" s="87" t="s">
        <v>174</v>
      </c>
      <c r="K26" s="46"/>
      <c r="L26" s="28"/>
      <c r="M26" s="27"/>
      <c r="N26" s="28" t="s">
        <v>31</v>
      </c>
      <c r="P26" s="45"/>
      <c r="Q26" s="47" t="s">
        <v>31</v>
      </c>
      <c r="R26" s="49"/>
      <c r="S26" s="49" t="s">
        <v>38</v>
      </c>
      <c r="T26" s="49"/>
      <c r="U26" s="28" t="s">
        <v>28</v>
      </c>
    </row>
    <row r="27" spans="1:21" s="16" customFormat="1" x14ac:dyDescent="0.25">
      <c r="A27" s="21" t="s">
        <v>100</v>
      </c>
      <c r="B27" s="22" t="s">
        <v>98</v>
      </c>
      <c r="C27" s="39">
        <v>46132</v>
      </c>
      <c r="D27" s="18">
        <v>12</v>
      </c>
      <c r="E27" s="18"/>
      <c r="F27" s="13" t="s">
        <v>58</v>
      </c>
      <c r="G27" s="20" t="s">
        <v>59</v>
      </c>
      <c r="H27" s="66"/>
      <c r="I27" s="66"/>
      <c r="J27" s="33"/>
      <c r="K27" s="33"/>
      <c r="L27" s="33" t="s">
        <v>91</v>
      </c>
      <c r="M27" s="75"/>
      <c r="N27" s="77" t="s">
        <v>38</v>
      </c>
      <c r="O27" s="19"/>
      <c r="P27" s="18"/>
      <c r="Q27" s="30" t="s">
        <v>31</v>
      </c>
      <c r="R27" s="20"/>
      <c r="S27" s="20" t="s">
        <v>38</v>
      </c>
      <c r="T27" s="20"/>
      <c r="U27" s="14" t="s">
        <v>28</v>
      </c>
    </row>
    <row r="28" spans="1:21" s="23" customFormat="1" x14ac:dyDescent="0.25">
      <c r="A28" s="23" t="s">
        <v>101</v>
      </c>
      <c r="B28" s="24" t="s">
        <v>99</v>
      </c>
      <c r="C28" s="39">
        <v>46139</v>
      </c>
      <c r="D28" s="18">
        <v>13</v>
      </c>
      <c r="E28" s="18"/>
      <c r="F28" s="20" t="s">
        <v>56</v>
      </c>
      <c r="G28" s="20" t="s">
        <v>57</v>
      </c>
      <c r="H28" s="71" t="s">
        <v>112</v>
      </c>
      <c r="I28" s="66"/>
      <c r="J28" s="14"/>
      <c r="K28" s="33"/>
      <c r="L28" s="14"/>
      <c r="M28" s="13"/>
      <c r="N28" s="15" t="s">
        <v>46</v>
      </c>
      <c r="O28" s="20"/>
      <c r="P28" s="20"/>
      <c r="Q28" s="30" t="s">
        <v>23</v>
      </c>
      <c r="R28" s="20"/>
      <c r="S28" s="20" t="s">
        <v>40</v>
      </c>
      <c r="T28" s="20"/>
      <c r="U28" s="14" t="s">
        <v>25</v>
      </c>
    </row>
    <row r="29" spans="1:21" x14ac:dyDescent="0.25">
      <c r="B29" s="12"/>
      <c r="C29" s="39">
        <v>46146</v>
      </c>
      <c r="D29" s="18">
        <v>14</v>
      </c>
      <c r="E29" s="18"/>
      <c r="F29" s="25" t="s">
        <v>62</v>
      </c>
      <c r="G29" s="25" t="s">
        <v>63</v>
      </c>
      <c r="H29" s="67"/>
      <c r="I29" s="66"/>
      <c r="J29" s="14"/>
      <c r="K29" s="33"/>
      <c r="L29" s="33" t="s">
        <v>93</v>
      </c>
      <c r="M29" s="75"/>
      <c r="N29" s="77" t="s">
        <v>23</v>
      </c>
      <c r="O29" s="14"/>
      <c r="P29" s="13"/>
      <c r="Q29" s="30" t="s">
        <v>23</v>
      </c>
      <c r="R29" s="20"/>
      <c r="S29" s="20" t="s">
        <v>40</v>
      </c>
      <c r="T29" s="20"/>
      <c r="U29" s="14" t="s">
        <v>25</v>
      </c>
    </row>
    <row r="30" spans="1:21" x14ac:dyDescent="0.25">
      <c r="B30" s="12"/>
      <c r="C30" s="39">
        <v>46153</v>
      </c>
      <c r="D30" s="18">
        <v>15</v>
      </c>
      <c r="E30" s="18"/>
      <c r="F30" s="13"/>
      <c r="G30" s="13"/>
      <c r="H30" s="63"/>
      <c r="I30" s="63"/>
      <c r="J30" s="14"/>
      <c r="K30" s="33"/>
      <c r="L30" s="14"/>
      <c r="M30" s="13"/>
      <c r="N30" s="56" t="s">
        <v>94</v>
      </c>
      <c r="O30" s="14"/>
      <c r="P30" s="13"/>
      <c r="Q30" s="30" t="s">
        <v>25</v>
      </c>
      <c r="R30" s="20"/>
      <c r="S30" s="20" t="s">
        <v>3</v>
      </c>
      <c r="T30" s="20"/>
      <c r="U30" s="14" t="s">
        <v>25</v>
      </c>
    </row>
    <row r="31" spans="1:21" ht="30" x14ac:dyDescent="0.25">
      <c r="B31" s="12"/>
      <c r="C31" s="39">
        <v>46160</v>
      </c>
      <c r="D31" s="18">
        <v>16</v>
      </c>
      <c r="E31" s="91" t="s">
        <v>192</v>
      </c>
      <c r="F31" s="13" t="s">
        <v>89</v>
      </c>
      <c r="G31" s="13" t="s">
        <v>90</v>
      </c>
      <c r="H31" s="63"/>
      <c r="I31" s="71" t="s">
        <v>187</v>
      </c>
      <c r="J31" s="14"/>
      <c r="K31" s="14"/>
      <c r="L31" s="77" t="s">
        <v>92</v>
      </c>
      <c r="M31" s="75"/>
      <c r="N31" s="77" t="s">
        <v>25</v>
      </c>
      <c r="O31" s="56"/>
      <c r="P31" s="13"/>
      <c r="Q31" s="30" t="s">
        <v>25</v>
      </c>
      <c r="R31" s="20"/>
      <c r="S31" s="20" t="s">
        <v>3</v>
      </c>
      <c r="T31" s="20"/>
      <c r="U31" s="14" t="s">
        <v>20</v>
      </c>
    </row>
    <row r="32" spans="1:21" x14ac:dyDescent="0.25">
      <c r="B32" s="12"/>
      <c r="C32" s="39">
        <v>46167</v>
      </c>
      <c r="D32" s="18">
        <v>17</v>
      </c>
      <c r="E32" s="18"/>
      <c r="F32" s="13" t="s">
        <v>60</v>
      </c>
      <c r="G32" s="13" t="s">
        <v>61</v>
      </c>
      <c r="H32" s="71" t="s">
        <v>113</v>
      </c>
      <c r="I32" s="63"/>
      <c r="J32" s="14"/>
      <c r="K32" s="14"/>
      <c r="L32" s="14"/>
      <c r="M32" s="13"/>
      <c r="N32" s="56" t="s">
        <v>35</v>
      </c>
      <c r="O32" s="14"/>
      <c r="P32" s="13"/>
      <c r="Q32" s="30" t="s">
        <v>35</v>
      </c>
      <c r="R32" s="20"/>
      <c r="S32" s="20" t="s">
        <v>20</v>
      </c>
      <c r="T32" s="20"/>
      <c r="U32" s="14" t="s">
        <v>20</v>
      </c>
    </row>
    <row r="33" spans="1:24" x14ac:dyDescent="0.25">
      <c r="B33" s="12"/>
      <c r="C33" s="39">
        <v>46174</v>
      </c>
      <c r="D33" s="18">
        <v>18</v>
      </c>
      <c r="E33" s="18"/>
      <c r="F33" s="13"/>
      <c r="G33" s="13"/>
      <c r="H33" s="63"/>
      <c r="I33" s="63"/>
      <c r="J33" s="14"/>
      <c r="K33" s="14"/>
      <c r="L33" s="33" t="s">
        <v>91</v>
      </c>
      <c r="M33" s="80"/>
      <c r="N33" s="77" t="s">
        <v>48</v>
      </c>
      <c r="O33" s="14"/>
      <c r="P33" s="13"/>
      <c r="Q33" s="29" t="s">
        <v>35</v>
      </c>
      <c r="R33" s="13"/>
      <c r="S33" s="20" t="s">
        <v>20</v>
      </c>
      <c r="T33" s="20"/>
      <c r="U33" s="14" t="s">
        <v>20</v>
      </c>
    </row>
    <row r="34" spans="1:24" s="16" customFormat="1" x14ac:dyDescent="0.25">
      <c r="A34" s="16" t="s">
        <v>44</v>
      </c>
      <c r="B34" s="17" t="s">
        <v>73</v>
      </c>
      <c r="C34" s="39">
        <v>46181</v>
      </c>
      <c r="D34" s="18">
        <v>19</v>
      </c>
      <c r="E34" s="18"/>
      <c r="F34" s="18"/>
      <c r="G34" s="18"/>
      <c r="H34" s="64"/>
      <c r="I34" s="64"/>
      <c r="J34" s="14"/>
      <c r="K34" s="14"/>
      <c r="L34" s="14"/>
      <c r="M34" s="13"/>
      <c r="N34" s="42" t="s">
        <v>37</v>
      </c>
      <c r="O34" s="14"/>
      <c r="P34" s="13"/>
      <c r="Q34" s="29" t="s">
        <v>33</v>
      </c>
      <c r="R34" s="13"/>
      <c r="S34" s="59" t="s">
        <v>24</v>
      </c>
      <c r="T34" s="20"/>
      <c r="U34" s="14" t="s">
        <v>28</v>
      </c>
      <c r="X34"/>
    </row>
    <row r="35" spans="1:24" x14ac:dyDescent="0.25">
      <c r="B35" s="12"/>
      <c r="C35" s="39">
        <v>46188</v>
      </c>
      <c r="D35" s="18">
        <v>20</v>
      </c>
      <c r="E35" s="18"/>
      <c r="F35" s="13"/>
      <c r="G35" s="13"/>
      <c r="H35" s="64"/>
      <c r="I35" s="64"/>
      <c r="J35" s="14"/>
      <c r="K35" s="19"/>
      <c r="L35" s="33" t="s">
        <v>93</v>
      </c>
      <c r="M35" s="75"/>
      <c r="N35" s="77" t="s">
        <v>19</v>
      </c>
      <c r="O35" s="19"/>
      <c r="P35" s="18"/>
      <c r="Q35" s="29" t="s">
        <v>33</v>
      </c>
      <c r="R35" s="18"/>
      <c r="S35" s="59" t="s">
        <v>24</v>
      </c>
      <c r="T35" s="13"/>
      <c r="U35" s="14" t="s">
        <v>28</v>
      </c>
    </row>
    <row r="36" spans="1:24" x14ac:dyDescent="0.25">
      <c r="A36" s="16"/>
      <c r="B36" s="17" t="s">
        <v>83</v>
      </c>
      <c r="C36" s="39">
        <v>46195</v>
      </c>
      <c r="D36" s="18">
        <v>21</v>
      </c>
      <c r="E36" s="18"/>
      <c r="F36" s="13"/>
      <c r="G36" s="13"/>
      <c r="H36" s="71" t="s">
        <v>114</v>
      </c>
      <c r="I36" s="64"/>
      <c r="J36" s="14"/>
      <c r="K36" s="14"/>
      <c r="L36" s="14"/>
      <c r="M36" s="13"/>
      <c r="N36" s="42" t="s">
        <v>49</v>
      </c>
      <c r="O36" s="14"/>
      <c r="P36" s="13"/>
      <c r="Q36" s="29" t="s">
        <v>22</v>
      </c>
      <c r="R36" s="13"/>
      <c r="S36" s="13" t="s">
        <v>28</v>
      </c>
      <c r="T36" s="13"/>
      <c r="U36" s="14" t="s">
        <v>20</v>
      </c>
    </row>
    <row r="37" spans="1:24" s="26" customFormat="1" x14ac:dyDescent="0.25">
      <c r="A37" s="43" t="s">
        <v>81</v>
      </c>
      <c r="B37" s="27"/>
      <c r="C37" s="40">
        <v>46202</v>
      </c>
      <c r="D37" s="45">
        <v>22</v>
      </c>
      <c r="E37" s="45"/>
      <c r="F37" s="27"/>
      <c r="G37" s="27"/>
      <c r="H37" s="68"/>
      <c r="I37" s="68"/>
      <c r="J37" s="87" t="s">
        <v>175</v>
      </c>
      <c r="L37" s="51" t="s">
        <v>91</v>
      </c>
      <c r="M37" s="78"/>
      <c r="N37" s="51" t="s">
        <v>42</v>
      </c>
      <c r="P37" s="27"/>
      <c r="Q37" s="31" t="s">
        <v>22</v>
      </c>
      <c r="R37" s="27"/>
      <c r="S37" s="27" t="s">
        <v>28</v>
      </c>
      <c r="T37" s="27"/>
      <c r="U37" s="28" t="s">
        <v>20</v>
      </c>
    </row>
    <row r="38" spans="1:24" s="26" customFormat="1" x14ac:dyDescent="0.25">
      <c r="A38" s="43" t="s">
        <v>81</v>
      </c>
      <c r="B38" s="27"/>
      <c r="C38" s="40">
        <v>46209</v>
      </c>
      <c r="D38" s="45">
        <v>23</v>
      </c>
      <c r="E38" s="45"/>
      <c r="F38" s="27"/>
      <c r="G38" s="27"/>
      <c r="H38" s="68"/>
      <c r="I38" s="68"/>
      <c r="J38" s="87" t="s">
        <v>175</v>
      </c>
      <c r="K38" s="28"/>
      <c r="M38" s="27"/>
      <c r="N38" s="58" t="s">
        <v>102</v>
      </c>
      <c r="O38" s="28"/>
      <c r="P38" s="27"/>
      <c r="Q38" s="31" t="s">
        <v>30</v>
      </c>
      <c r="R38" s="27"/>
      <c r="S38" s="49" t="s">
        <v>38</v>
      </c>
      <c r="T38" s="27"/>
      <c r="U38" s="28" t="s">
        <v>28</v>
      </c>
    </row>
    <row r="39" spans="1:24" s="43" customFormat="1" x14ac:dyDescent="0.25">
      <c r="B39" s="45" t="s">
        <v>82</v>
      </c>
      <c r="C39" s="40">
        <v>46216</v>
      </c>
      <c r="D39" s="45">
        <v>24</v>
      </c>
      <c r="E39" s="45"/>
      <c r="F39" s="45"/>
      <c r="G39" s="45"/>
      <c r="H39" s="65"/>
      <c r="I39" s="65"/>
      <c r="J39" s="87" t="s">
        <v>173</v>
      </c>
      <c r="K39" s="28"/>
      <c r="L39" s="81" t="s">
        <v>92</v>
      </c>
      <c r="M39" s="78"/>
      <c r="N39" s="81" t="s">
        <v>45</v>
      </c>
      <c r="O39" s="46"/>
      <c r="P39" s="45"/>
      <c r="Q39" s="47" t="s">
        <v>30</v>
      </c>
      <c r="R39" s="49"/>
      <c r="S39" s="49" t="s">
        <v>38</v>
      </c>
      <c r="T39" s="49"/>
      <c r="U39" s="28" t="s">
        <v>28</v>
      </c>
    </row>
    <row r="40" spans="1:24" s="16" customFormat="1" x14ac:dyDescent="0.25">
      <c r="B40" s="17"/>
      <c r="C40" s="39">
        <v>46223</v>
      </c>
      <c r="D40" s="18">
        <v>25</v>
      </c>
      <c r="E40" s="18"/>
      <c r="F40" s="18"/>
      <c r="G40" s="18"/>
      <c r="H40" s="71" t="s">
        <v>115</v>
      </c>
      <c r="I40" s="63"/>
      <c r="J40" s="87" t="s">
        <v>173</v>
      </c>
      <c r="K40" s="19"/>
      <c r="L40" s="14"/>
      <c r="M40" s="18"/>
      <c r="N40" s="15" t="s">
        <v>50</v>
      </c>
      <c r="O40" s="13"/>
      <c r="P40" s="18"/>
      <c r="Q40" s="30" t="s">
        <v>31</v>
      </c>
      <c r="R40" s="20"/>
      <c r="S40" s="20" t="s">
        <v>40</v>
      </c>
      <c r="T40" s="18"/>
      <c r="U40" s="14" t="s">
        <v>25</v>
      </c>
      <c r="V40"/>
    </row>
    <row r="41" spans="1:24" x14ac:dyDescent="0.25">
      <c r="B41" s="12"/>
      <c r="C41" s="39">
        <v>46230</v>
      </c>
      <c r="D41" s="18">
        <v>26</v>
      </c>
      <c r="E41" s="18"/>
      <c r="F41" s="13" t="s">
        <v>105</v>
      </c>
      <c r="G41" s="13" t="s">
        <v>108</v>
      </c>
      <c r="H41" s="63"/>
      <c r="I41" s="63"/>
      <c r="J41" s="14"/>
      <c r="K41" s="19"/>
      <c r="L41" s="33" t="s">
        <v>93</v>
      </c>
      <c r="M41" s="75"/>
      <c r="N41" s="54" t="s">
        <v>39</v>
      </c>
      <c r="O41" s="13"/>
      <c r="P41" s="20"/>
      <c r="Q41" s="30" t="s">
        <v>31</v>
      </c>
      <c r="R41" s="20"/>
      <c r="S41" s="20" t="s">
        <v>40</v>
      </c>
      <c r="T41" s="13"/>
      <c r="U41" s="14" t="s">
        <v>25</v>
      </c>
    </row>
    <row r="42" spans="1:24" x14ac:dyDescent="0.25">
      <c r="B42" s="12"/>
      <c r="C42" s="39">
        <v>46237</v>
      </c>
      <c r="D42" s="18">
        <v>27</v>
      </c>
      <c r="E42" s="18"/>
      <c r="F42" s="13"/>
      <c r="G42" s="13"/>
      <c r="H42" s="63"/>
      <c r="I42" s="63"/>
      <c r="J42" s="14"/>
      <c r="K42" s="14"/>
      <c r="L42" s="14"/>
      <c r="M42" s="13"/>
      <c r="N42" s="14" t="s">
        <v>26</v>
      </c>
      <c r="O42" s="13"/>
      <c r="P42" s="13"/>
      <c r="Q42" s="30" t="s">
        <v>23</v>
      </c>
      <c r="R42" s="20"/>
      <c r="S42" s="13" t="s">
        <v>27</v>
      </c>
      <c r="T42" s="20"/>
      <c r="U42" s="14" t="s">
        <v>20</v>
      </c>
    </row>
    <row r="43" spans="1:24" x14ac:dyDescent="0.25">
      <c r="B43" s="12"/>
      <c r="C43" s="39">
        <v>46244</v>
      </c>
      <c r="D43" s="18">
        <v>28</v>
      </c>
      <c r="E43" s="18"/>
      <c r="F43" s="13" t="s">
        <v>106</v>
      </c>
      <c r="G43" s="13" t="s">
        <v>107</v>
      </c>
      <c r="H43" s="63"/>
      <c r="I43" s="63"/>
      <c r="J43" s="33"/>
      <c r="K43" s="33"/>
      <c r="L43" s="77" t="s">
        <v>92</v>
      </c>
      <c r="M43" s="82"/>
      <c r="N43" s="33" t="s">
        <v>4</v>
      </c>
      <c r="O43" s="13"/>
      <c r="P43" s="13"/>
      <c r="Q43" s="30" t="s">
        <v>23</v>
      </c>
      <c r="R43" s="20"/>
      <c r="S43" s="13" t="s">
        <v>27</v>
      </c>
      <c r="T43" s="20"/>
      <c r="U43" s="14" t="s">
        <v>20</v>
      </c>
    </row>
    <row r="44" spans="1:24" x14ac:dyDescent="0.25">
      <c r="B44" s="12"/>
      <c r="C44" s="39">
        <v>46251</v>
      </c>
      <c r="D44" s="18">
        <v>29</v>
      </c>
      <c r="E44" s="18"/>
      <c r="F44" s="13"/>
      <c r="G44" s="13"/>
      <c r="H44" s="71" t="s">
        <v>116</v>
      </c>
      <c r="I44" s="63"/>
      <c r="J44" s="33"/>
      <c r="K44" s="33"/>
      <c r="L44" s="14"/>
      <c r="M44" s="13"/>
      <c r="N44" s="15" t="s">
        <v>47</v>
      </c>
      <c r="O44" s="13"/>
      <c r="P44" s="13"/>
      <c r="Q44" s="30" t="s">
        <v>25</v>
      </c>
      <c r="R44" s="20"/>
      <c r="S44" s="13" t="s">
        <v>28</v>
      </c>
      <c r="T44" s="20"/>
      <c r="U44" s="14" t="s">
        <v>28</v>
      </c>
    </row>
    <row r="45" spans="1:24" ht="30.75" customHeight="1" x14ac:dyDescent="0.25">
      <c r="B45" s="12"/>
      <c r="C45" s="39">
        <v>46258</v>
      </c>
      <c r="D45" s="18">
        <v>30</v>
      </c>
      <c r="E45" s="18"/>
      <c r="F45" s="13" t="s">
        <v>65</v>
      </c>
      <c r="G45" s="13" t="s">
        <v>64</v>
      </c>
      <c r="H45" s="63"/>
      <c r="I45" s="63"/>
      <c r="J45" s="33"/>
      <c r="K45" s="33"/>
      <c r="L45" s="90" t="s">
        <v>176</v>
      </c>
      <c r="M45" s="75"/>
      <c r="N45" s="76" t="s">
        <v>34</v>
      </c>
      <c r="O45" s="13"/>
      <c r="P45" s="13"/>
      <c r="Q45" s="30" t="s">
        <v>25</v>
      </c>
      <c r="R45" s="20"/>
      <c r="S45" s="13" t="s">
        <v>28</v>
      </c>
      <c r="T45" s="20"/>
      <c r="U45" s="14" t="s">
        <v>28</v>
      </c>
    </row>
    <row r="46" spans="1:24" ht="30" x14ac:dyDescent="0.25">
      <c r="B46" s="12"/>
      <c r="C46" s="39">
        <v>46265</v>
      </c>
      <c r="D46" s="18">
        <v>31</v>
      </c>
      <c r="E46" s="91" t="s">
        <v>191</v>
      </c>
      <c r="F46" s="13"/>
      <c r="G46" s="13"/>
      <c r="H46" s="63"/>
      <c r="I46" s="63"/>
      <c r="J46" s="33"/>
      <c r="K46" s="33"/>
      <c r="L46" s="14"/>
      <c r="M46" s="18"/>
      <c r="N46" s="15" t="s">
        <v>97</v>
      </c>
      <c r="O46" s="13"/>
      <c r="P46" s="13"/>
      <c r="Q46" s="30" t="s">
        <v>35</v>
      </c>
      <c r="R46" s="20"/>
      <c r="S46" s="20" t="s">
        <v>3</v>
      </c>
      <c r="T46" s="20"/>
      <c r="U46" s="14" t="s">
        <v>25</v>
      </c>
    </row>
    <row r="47" spans="1:24" ht="30.75" customHeight="1" x14ac:dyDescent="0.25">
      <c r="B47" s="12"/>
      <c r="C47" s="39">
        <v>46272</v>
      </c>
      <c r="D47" s="18">
        <v>32</v>
      </c>
      <c r="E47" s="18"/>
      <c r="F47" s="13"/>
      <c r="G47" s="13"/>
      <c r="H47" s="63"/>
      <c r="I47" s="63"/>
      <c r="J47" s="33"/>
      <c r="K47" s="33"/>
      <c r="L47" s="90" t="s">
        <v>177</v>
      </c>
      <c r="M47" s="75"/>
      <c r="N47" s="33" t="s">
        <v>3</v>
      </c>
      <c r="O47" s="14"/>
      <c r="P47" s="13"/>
      <c r="Q47" s="30" t="s">
        <v>35</v>
      </c>
      <c r="R47" s="20"/>
      <c r="S47" s="20" t="s">
        <v>3</v>
      </c>
      <c r="T47" s="20"/>
      <c r="U47" s="14" t="s">
        <v>25</v>
      </c>
    </row>
    <row r="48" spans="1:24" x14ac:dyDescent="0.25">
      <c r="A48" s="16" t="s">
        <v>85</v>
      </c>
      <c r="B48" s="17" t="s">
        <v>84</v>
      </c>
      <c r="C48" s="39">
        <v>46279</v>
      </c>
      <c r="D48" s="18">
        <v>33</v>
      </c>
      <c r="E48" s="18"/>
      <c r="F48" s="13"/>
      <c r="G48" s="13"/>
      <c r="H48" s="71" t="s">
        <v>117</v>
      </c>
      <c r="I48" s="63"/>
      <c r="J48" s="33"/>
      <c r="K48" s="33"/>
      <c r="L48" s="14"/>
      <c r="M48" s="13"/>
      <c r="N48" s="54" t="s">
        <v>43</v>
      </c>
      <c r="O48" s="14"/>
      <c r="P48" s="13"/>
      <c r="Q48" s="30" t="s">
        <v>33</v>
      </c>
      <c r="R48" s="20"/>
      <c r="S48" s="20" t="s">
        <v>20</v>
      </c>
      <c r="T48" s="20"/>
      <c r="U48" s="14" t="s">
        <v>20</v>
      </c>
    </row>
    <row r="49" spans="1:24" s="26" customFormat="1" x14ac:dyDescent="0.25">
      <c r="B49" s="27"/>
      <c r="C49" s="40">
        <v>46286</v>
      </c>
      <c r="D49" s="45">
        <v>34</v>
      </c>
      <c r="E49" s="45"/>
      <c r="F49" s="27"/>
      <c r="G49" s="27"/>
      <c r="H49" s="69"/>
      <c r="I49" s="69"/>
      <c r="J49" s="51"/>
      <c r="K49" s="51"/>
      <c r="L49" s="81" t="s">
        <v>92</v>
      </c>
      <c r="M49" s="83"/>
      <c r="N49" s="81" t="s">
        <v>52</v>
      </c>
      <c r="O49" s="28"/>
      <c r="P49" s="27"/>
      <c r="Q49" s="47" t="s">
        <v>33</v>
      </c>
      <c r="R49" s="49"/>
      <c r="S49" s="49" t="s">
        <v>20</v>
      </c>
      <c r="T49" s="49"/>
      <c r="U49" s="28" t="s">
        <v>20</v>
      </c>
    </row>
    <row r="50" spans="1:24" s="43" customFormat="1" x14ac:dyDescent="0.25">
      <c r="A50" s="50" t="s">
        <v>76</v>
      </c>
      <c r="B50" s="45" t="s">
        <v>83</v>
      </c>
      <c r="C50" s="40">
        <v>46293</v>
      </c>
      <c r="D50" s="45">
        <v>35</v>
      </c>
      <c r="E50" s="45"/>
      <c r="F50" s="45"/>
      <c r="G50" s="45"/>
      <c r="H50" s="65"/>
      <c r="I50" s="65"/>
      <c r="J50" s="87" t="s">
        <v>175</v>
      </c>
      <c r="K50" s="28"/>
      <c r="L50" s="28"/>
      <c r="M50" s="27"/>
      <c r="N50" s="36" t="s">
        <v>155</v>
      </c>
      <c r="O50" s="53"/>
      <c r="P50" s="45"/>
      <c r="Q50" s="47" t="s">
        <v>22</v>
      </c>
      <c r="R50" s="49"/>
      <c r="S50" s="59" t="s">
        <v>24</v>
      </c>
      <c r="T50" s="49"/>
      <c r="U50" s="28" t="s">
        <v>28</v>
      </c>
    </row>
    <row r="51" spans="1:24" s="16" customFormat="1" x14ac:dyDescent="0.25">
      <c r="A51" s="21" t="s">
        <v>86</v>
      </c>
      <c r="B51" s="17" t="s">
        <v>87</v>
      </c>
      <c r="C51" s="39">
        <v>46300</v>
      </c>
      <c r="D51" s="18">
        <v>36</v>
      </c>
      <c r="E51" s="18"/>
      <c r="F51" s="18"/>
      <c r="G51" s="18"/>
      <c r="H51" s="64"/>
      <c r="I51" s="64"/>
      <c r="J51" s="87" t="s">
        <v>175</v>
      </c>
      <c r="K51" s="19"/>
      <c r="L51" s="33" t="s">
        <v>91</v>
      </c>
      <c r="M51" s="80"/>
      <c r="N51" s="84" t="s">
        <v>22</v>
      </c>
      <c r="O51" s="14"/>
      <c r="P51" s="20"/>
      <c r="Q51" s="30" t="s">
        <v>22</v>
      </c>
      <c r="R51" s="20"/>
      <c r="S51" s="59" t="s">
        <v>24</v>
      </c>
      <c r="T51" s="20"/>
      <c r="U51" s="14" t="s">
        <v>28</v>
      </c>
    </row>
    <row r="52" spans="1:24" x14ac:dyDescent="0.25">
      <c r="B52" s="12"/>
      <c r="C52" s="39">
        <v>46307</v>
      </c>
      <c r="D52" s="18">
        <v>37</v>
      </c>
      <c r="E52" s="18"/>
      <c r="F52" s="13"/>
      <c r="G52" s="13"/>
      <c r="H52" s="71" t="s">
        <v>118</v>
      </c>
      <c r="I52" s="64"/>
      <c r="J52" s="87" t="s">
        <v>175</v>
      </c>
      <c r="K52" s="19"/>
      <c r="L52" s="14"/>
      <c r="M52" s="18"/>
      <c r="N52" s="54" t="s">
        <v>30</v>
      </c>
      <c r="O52" s="14"/>
      <c r="P52" s="20"/>
      <c r="Q52" s="30" t="s">
        <v>30</v>
      </c>
      <c r="R52" s="20"/>
      <c r="S52" s="13" t="s">
        <v>27</v>
      </c>
      <c r="T52" s="20"/>
      <c r="U52" s="14" t="s">
        <v>25</v>
      </c>
    </row>
    <row r="53" spans="1:24" x14ac:dyDescent="0.25">
      <c r="B53" s="12"/>
      <c r="C53" s="39">
        <v>46314</v>
      </c>
      <c r="D53" s="18">
        <v>38</v>
      </c>
      <c r="E53" s="18"/>
      <c r="F53" s="13"/>
      <c r="G53" s="13"/>
      <c r="H53" s="63"/>
      <c r="I53" s="71" t="s">
        <v>188</v>
      </c>
      <c r="J53" s="87" t="s">
        <v>175</v>
      </c>
      <c r="K53" s="14"/>
      <c r="L53" s="33" t="s">
        <v>93</v>
      </c>
      <c r="M53" s="75"/>
      <c r="N53" s="77" t="s">
        <v>46</v>
      </c>
      <c r="O53" s="14"/>
      <c r="P53" s="20"/>
      <c r="Q53" s="30" t="s">
        <v>30</v>
      </c>
      <c r="R53" s="20"/>
      <c r="S53" s="13" t="s">
        <v>27</v>
      </c>
      <c r="T53" s="20"/>
      <c r="U53" s="14" t="s">
        <v>25</v>
      </c>
      <c r="X53" s="16"/>
    </row>
    <row r="54" spans="1:24" x14ac:dyDescent="0.25">
      <c r="B54" s="12"/>
      <c r="C54" s="39">
        <v>46321</v>
      </c>
      <c r="D54" s="18">
        <v>39</v>
      </c>
      <c r="E54" s="18"/>
      <c r="F54" s="13"/>
      <c r="G54" s="13"/>
      <c r="H54" s="63"/>
      <c r="I54" s="63"/>
      <c r="J54" s="14"/>
      <c r="K54" s="14"/>
      <c r="L54" s="14"/>
      <c r="M54" s="13"/>
      <c r="N54" s="14" t="s">
        <v>152</v>
      </c>
      <c r="O54" s="14"/>
      <c r="P54" s="20"/>
      <c r="Q54" s="30" t="s">
        <v>31</v>
      </c>
      <c r="R54" s="20"/>
      <c r="S54" s="20" t="s">
        <v>38</v>
      </c>
      <c r="T54" s="20"/>
      <c r="U54" s="14" t="s">
        <v>20</v>
      </c>
    </row>
    <row r="55" spans="1:24" x14ac:dyDescent="0.25">
      <c r="A55" s="16" t="s">
        <v>51</v>
      </c>
      <c r="B55" s="17" t="s">
        <v>72</v>
      </c>
      <c r="C55" s="39">
        <v>46328</v>
      </c>
      <c r="D55" s="18">
        <v>40</v>
      </c>
      <c r="E55" s="18"/>
      <c r="F55" s="13"/>
      <c r="G55" s="13"/>
      <c r="H55" s="63"/>
      <c r="I55" s="63"/>
      <c r="J55" s="14"/>
      <c r="K55" s="14"/>
      <c r="L55" s="77" t="s">
        <v>92</v>
      </c>
      <c r="M55" s="75"/>
      <c r="N55" s="84" t="s">
        <v>4</v>
      </c>
      <c r="O55" s="14"/>
      <c r="P55" s="20"/>
      <c r="Q55" s="30" t="s">
        <v>31</v>
      </c>
      <c r="R55" s="20"/>
      <c r="S55" s="20" t="s">
        <v>38</v>
      </c>
      <c r="T55" s="20"/>
      <c r="U55" s="14" t="s">
        <v>20</v>
      </c>
      <c r="X55" s="16"/>
    </row>
    <row r="56" spans="1:24" s="16" customFormat="1" ht="30" x14ac:dyDescent="0.25">
      <c r="B56" s="17"/>
      <c r="C56" s="39">
        <v>46335</v>
      </c>
      <c r="D56" s="18">
        <v>41</v>
      </c>
      <c r="E56" s="91" t="s">
        <v>190</v>
      </c>
      <c r="F56" s="20" t="s">
        <v>103</v>
      </c>
      <c r="G56" s="20" t="s">
        <v>104</v>
      </c>
      <c r="H56" s="71" t="s">
        <v>171</v>
      </c>
      <c r="I56" s="63"/>
      <c r="J56" s="33"/>
      <c r="K56" s="33"/>
      <c r="L56" s="14"/>
      <c r="M56" s="13"/>
      <c r="N56" s="15" t="s">
        <v>23</v>
      </c>
      <c r="O56" s="14"/>
      <c r="P56" s="20"/>
      <c r="Q56" s="30" t="s">
        <v>23</v>
      </c>
      <c r="R56" s="20"/>
      <c r="S56" s="20" t="s">
        <v>40</v>
      </c>
      <c r="T56" s="20"/>
      <c r="U56" s="14" t="s">
        <v>28</v>
      </c>
      <c r="X56"/>
    </row>
    <row r="57" spans="1:24" s="23" customFormat="1" x14ac:dyDescent="0.25">
      <c r="B57" s="24"/>
      <c r="C57" s="39">
        <v>46342</v>
      </c>
      <c r="D57" s="18">
        <v>42</v>
      </c>
      <c r="E57" s="18"/>
      <c r="F57" s="20"/>
      <c r="G57" s="20"/>
      <c r="H57" s="66"/>
      <c r="I57" s="63"/>
      <c r="J57" s="33"/>
      <c r="K57" s="33"/>
      <c r="L57" s="33" t="s">
        <v>91</v>
      </c>
      <c r="M57" s="85"/>
      <c r="N57" s="77" t="s">
        <v>39</v>
      </c>
      <c r="O57" s="14"/>
      <c r="P57" s="20"/>
      <c r="Q57" s="30" t="s">
        <v>23</v>
      </c>
      <c r="R57" s="20"/>
      <c r="S57" s="20" t="s">
        <v>40</v>
      </c>
      <c r="T57" s="20"/>
      <c r="U57" s="14" t="s">
        <v>28</v>
      </c>
      <c r="X57" s="16"/>
    </row>
    <row r="58" spans="1:24" s="23" customFormat="1" x14ac:dyDescent="0.25">
      <c r="B58" s="24"/>
      <c r="C58" s="39">
        <v>46349</v>
      </c>
      <c r="D58" s="18">
        <v>43</v>
      </c>
      <c r="E58" s="18"/>
      <c r="F58" s="20"/>
      <c r="G58" s="20"/>
      <c r="H58" s="66"/>
      <c r="I58" s="71" t="s">
        <v>189</v>
      </c>
      <c r="J58" s="33"/>
      <c r="K58" s="33"/>
      <c r="L58" s="14"/>
      <c r="M58" s="20"/>
      <c r="N58" s="14" t="s">
        <v>158</v>
      </c>
      <c r="O58" s="14"/>
      <c r="P58" s="20"/>
      <c r="Q58" s="30" t="s">
        <v>25</v>
      </c>
      <c r="R58" s="20"/>
      <c r="S58" s="13" t="s">
        <v>28</v>
      </c>
      <c r="T58" s="20"/>
      <c r="U58" s="14" t="s">
        <v>25</v>
      </c>
    </row>
    <row r="59" spans="1:24" s="23" customFormat="1" x14ac:dyDescent="0.25">
      <c r="B59" s="24"/>
      <c r="C59" s="39">
        <v>46356</v>
      </c>
      <c r="D59" s="18">
        <v>44</v>
      </c>
      <c r="E59" s="18"/>
      <c r="F59" s="20"/>
      <c r="G59" s="20"/>
      <c r="H59" s="66"/>
      <c r="I59" s="63"/>
      <c r="J59" s="15"/>
      <c r="K59" s="15"/>
      <c r="L59" s="33" t="s">
        <v>93</v>
      </c>
      <c r="M59" s="85"/>
      <c r="N59" s="77" t="s">
        <v>25</v>
      </c>
      <c r="O59" s="14"/>
      <c r="P59" s="20"/>
      <c r="Q59" s="30" t="s">
        <v>25</v>
      </c>
      <c r="R59" s="20"/>
      <c r="S59" s="13" t="s">
        <v>28</v>
      </c>
      <c r="T59" s="20"/>
      <c r="U59" s="14" t="s">
        <v>25</v>
      </c>
    </row>
    <row r="60" spans="1:24" s="23" customFormat="1" x14ac:dyDescent="0.25">
      <c r="B60" s="24"/>
      <c r="C60" s="39">
        <v>46363</v>
      </c>
      <c r="D60" s="18">
        <v>45</v>
      </c>
      <c r="E60" s="18"/>
      <c r="F60" s="20"/>
      <c r="G60" s="20"/>
      <c r="H60" s="71" t="s">
        <v>172</v>
      </c>
      <c r="I60" s="63"/>
      <c r="J60" s="15"/>
      <c r="K60" s="15"/>
      <c r="L60" s="14"/>
      <c r="M60" s="20"/>
      <c r="N60" s="15" t="s">
        <v>42</v>
      </c>
      <c r="O60" s="14"/>
      <c r="P60" s="20"/>
      <c r="Q60" s="30" t="s">
        <v>35</v>
      </c>
      <c r="R60" s="20"/>
      <c r="S60" s="20" t="s">
        <v>20</v>
      </c>
      <c r="T60" s="20"/>
      <c r="U60" s="14" t="s">
        <v>20</v>
      </c>
    </row>
    <row r="61" spans="1:24" s="23" customFormat="1" x14ac:dyDescent="0.25">
      <c r="A61" s="16" t="s">
        <v>88</v>
      </c>
      <c r="B61" s="17" t="s">
        <v>84</v>
      </c>
      <c r="C61" s="39">
        <v>46370</v>
      </c>
      <c r="D61" s="18">
        <v>46</v>
      </c>
      <c r="E61" s="18"/>
      <c r="F61" s="20"/>
      <c r="G61" s="20"/>
      <c r="H61" s="66"/>
      <c r="I61" s="66"/>
      <c r="J61" s="15"/>
      <c r="K61" s="15"/>
      <c r="L61" s="77" t="s">
        <v>92</v>
      </c>
      <c r="M61" s="85"/>
      <c r="N61" s="84" t="s">
        <v>20</v>
      </c>
      <c r="O61" s="14"/>
      <c r="P61" s="20"/>
      <c r="Q61" s="30" t="s">
        <v>35</v>
      </c>
      <c r="R61" s="20"/>
      <c r="S61" s="20" t="s">
        <v>20</v>
      </c>
      <c r="T61" s="20"/>
      <c r="U61" s="14" t="s">
        <v>20</v>
      </c>
    </row>
    <row r="62" spans="1:24" s="48" customFormat="1" ht="30" x14ac:dyDescent="0.25">
      <c r="A62" s="43" t="s">
        <v>69</v>
      </c>
      <c r="B62" s="45" t="s">
        <v>68</v>
      </c>
      <c r="C62" s="40">
        <v>46377</v>
      </c>
      <c r="D62" s="45">
        <v>47</v>
      </c>
      <c r="E62" s="45"/>
      <c r="F62" s="49"/>
      <c r="G62" s="49"/>
      <c r="H62" s="70"/>
      <c r="I62" s="70"/>
      <c r="J62" s="36"/>
      <c r="K62" s="36"/>
      <c r="L62" s="81" t="s">
        <v>91</v>
      </c>
      <c r="M62" s="86"/>
      <c r="N62" s="51" t="s">
        <v>165</v>
      </c>
      <c r="O62" s="36"/>
      <c r="P62" s="49"/>
      <c r="Q62" s="47" t="s">
        <v>23</v>
      </c>
      <c r="R62" s="49"/>
      <c r="S62" s="49" t="s">
        <v>3</v>
      </c>
      <c r="T62" s="49"/>
      <c r="U62" s="52" t="s">
        <v>178</v>
      </c>
    </row>
    <row r="63" spans="1:24" s="43" customFormat="1" ht="30" x14ac:dyDescent="0.25">
      <c r="A63" s="50" t="s">
        <v>70</v>
      </c>
      <c r="B63" s="57" t="s">
        <v>71</v>
      </c>
      <c r="C63" s="40">
        <v>46384</v>
      </c>
      <c r="D63" s="45">
        <v>48</v>
      </c>
      <c r="E63" s="45"/>
      <c r="F63" s="45"/>
      <c r="G63" s="45"/>
      <c r="H63" s="65"/>
      <c r="I63" s="65"/>
      <c r="J63" s="46"/>
      <c r="K63" s="36"/>
      <c r="L63" s="51" t="s">
        <v>93</v>
      </c>
      <c r="M63" s="86"/>
      <c r="N63" s="81" t="s">
        <v>149</v>
      </c>
      <c r="O63" s="36"/>
      <c r="P63" s="49"/>
      <c r="Q63" s="47" t="s">
        <v>33</v>
      </c>
      <c r="R63" s="49"/>
      <c r="S63" s="49" t="s">
        <v>38</v>
      </c>
      <c r="T63" s="49"/>
      <c r="U63" s="52" t="s">
        <v>179</v>
      </c>
      <c r="V63" s="48"/>
    </row>
    <row r="64" spans="1:24" s="43" customFormat="1" x14ac:dyDescent="0.25">
      <c r="B64" s="45"/>
      <c r="C64" s="40">
        <v>46391</v>
      </c>
      <c r="D64" s="45">
        <v>49</v>
      </c>
      <c r="E64" s="45"/>
      <c r="F64" s="45"/>
      <c r="G64" s="45"/>
      <c r="H64" s="71" t="s">
        <v>119</v>
      </c>
      <c r="I64" s="71"/>
      <c r="J64" s="87" t="s">
        <v>173</v>
      </c>
      <c r="K64" s="36"/>
      <c r="L64" s="81" t="s">
        <v>91</v>
      </c>
      <c r="M64" s="86"/>
      <c r="N64" s="51" t="s">
        <v>160</v>
      </c>
      <c r="O64" s="36"/>
      <c r="P64" s="49"/>
      <c r="Q64" s="47" t="s">
        <v>31</v>
      </c>
      <c r="R64" s="49"/>
      <c r="S64" s="49" t="s">
        <v>20</v>
      </c>
      <c r="T64" s="49"/>
      <c r="U64" s="70" t="s">
        <v>20</v>
      </c>
      <c r="V64" s="48"/>
    </row>
    <row r="65" spans="2:21" s="26" customFormat="1" ht="30" x14ac:dyDescent="0.25">
      <c r="B65" s="27"/>
      <c r="C65" s="40">
        <v>46398</v>
      </c>
      <c r="D65" s="45">
        <v>50</v>
      </c>
      <c r="E65" s="45"/>
      <c r="F65" s="27"/>
      <c r="G65" s="27"/>
      <c r="H65" s="68"/>
      <c r="I65" s="68"/>
      <c r="J65" s="87" t="s">
        <v>174</v>
      </c>
      <c r="K65" s="46"/>
      <c r="L65" s="51" t="s">
        <v>92</v>
      </c>
      <c r="M65" s="86"/>
      <c r="N65" s="81" t="s">
        <v>169</v>
      </c>
      <c r="O65" s="36"/>
      <c r="P65" s="49"/>
      <c r="Q65" s="47" t="s">
        <v>22</v>
      </c>
      <c r="R65" s="49"/>
      <c r="S65" s="27" t="s">
        <v>27</v>
      </c>
      <c r="T65" s="49"/>
      <c r="U65" s="52" t="s">
        <v>179</v>
      </c>
    </row>
    <row r="66" spans="2:21" s="26" customFormat="1" ht="30" x14ac:dyDescent="0.25">
      <c r="B66" s="27"/>
      <c r="C66" s="40">
        <v>46405</v>
      </c>
      <c r="D66" s="45">
        <v>51</v>
      </c>
      <c r="E66" s="45"/>
      <c r="F66" s="27"/>
      <c r="G66" s="27"/>
      <c r="H66" s="68"/>
      <c r="I66" s="68"/>
      <c r="J66" s="87" t="s">
        <v>174</v>
      </c>
      <c r="K66" s="28"/>
      <c r="L66" s="51" t="s">
        <v>93</v>
      </c>
      <c r="M66" s="86"/>
      <c r="N66" s="81" t="s">
        <v>156</v>
      </c>
      <c r="O66" s="36"/>
      <c r="P66" s="49"/>
      <c r="Q66" s="47" t="s">
        <v>30</v>
      </c>
      <c r="R66" s="47"/>
      <c r="S66" s="59" t="s">
        <v>24</v>
      </c>
      <c r="T66" s="49"/>
      <c r="U66" s="52" t="s">
        <v>180</v>
      </c>
    </row>
    <row r="67" spans="2:21" s="26" customFormat="1" x14ac:dyDescent="0.25">
      <c r="B67" s="27"/>
      <c r="C67" s="40">
        <v>46412</v>
      </c>
      <c r="D67" s="45">
        <v>52</v>
      </c>
      <c r="E67" s="45"/>
      <c r="F67" s="27"/>
      <c r="G67" s="27"/>
      <c r="H67" s="68"/>
      <c r="I67" s="68"/>
      <c r="J67" s="87" t="s">
        <v>174</v>
      </c>
      <c r="K67" s="28"/>
      <c r="L67" s="51" t="s">
        <v>92</v>
      </c>
      <c r="M67" s="86"/>
      <c r="N67" s="81" t="s">
        <v>28</v>
      </c>
      <c r="O67" s="36"/>
      <c r="P67" s="49"/>
      <c r="Q67" s="47" t="s">
        <v>35</v>
      </c>
      <c r="R67" s="49"/>
      <c r="S67" s="49" t="s">
        <v>40</v>
      </c>
      <c r="T67" s="49"/>
      <c r="U67" s="52" t="s">
        <v>28</v>
      </c>
    </row>
    <row r="68" spans="2:21" s="26" customFormat="1" x14ac:dyDescent="0.25">
      <c r="B68" s="27"/>
      <c r="C68" s="40">
        <v>46419</v>
      </c>
      <c r="D68" s="45">
        <v>53</v>
      </c>
      <c r="E68" s="45"/>
      <c r="F68" s="27"/>
      <c r="G68" s="27"/>
      <c r="H68" s="68"/>
      <c r="I68" s="68"/>
      <c r="J68" s="28"/>
      <c r="K68" s="28"/>
      <c r="L68" s="81" t="s">
        <v>91</v>
      </c>
      <c r="M68" s="86"/>
      <c r="N68" s="81" t="s">
        <v>168</v>
      </c>
      <c r="O68" s="36"/>
      <c r="P68" s="49"/>
      <c r="Q68" s="47" t="s">
        <v>25</v>
      </c>
      <c r="R68" s="49"/>
      <c r="S68" s="27" t="s">
        <v>28</v>
      </c>
      <c r="T68" s="49"/>
      <c r="U68" s="36" t="s">
        <v>25</v>
      </c>
    </row>
    <row r="69" spans="2:21" x14ac:dyDescent="0.25">
      <c r="C69" s="41"/>
      <c r="M69" s="2"/>
    </row>
    <row r="70" spans="2:21" x14ac:dyDescent="0.25">
      <c r="C70" s="41"/>
    </row>
    <row r="72" spans="2:21" x14ac:dyDescent="0.25">
      <c r="K72" s="15" t="s">
        <v>92</v>
      </c>
      <c r="L72">
        <f>COUNTIF(L16:L68,"*nik*")</f>
        <v>10</v>
      </c>
      <c r="N72" s="14" t="s">
        <v>167</v>
      </c>
      <c r="O72">
        <f>COUNTIF(N16:N68,"alex*")</f>
        <v>2</v>
      </c>
      <c r="Q72" s="29" t="s">
        <v>25</v>
      </c>
      <c r="R72">
        <f>COUNTIF(Q16:Q68,"*emily*")</f>
        <v>9</v>
      </c>
      <c r="S72" s="13" t="s">
        <v>28</v>
      </c>
      <c r="T72">
        <f>COUNTIF(S16:S68,"*jacinta*")</f>
        <v>9</v>
      </c>
    </row>
    <row r="73" spans="2:21" x14ac:dyDescent="0.25">
      <c r="K73" s="14" t="s">
        <v>93</v>
      </c>
      <c r="L73">
        <f>COUNTIF(L16:L68,"*dan*")</f>
        <v>11</v>
      </c>
      <c r="N73" s="14" t="s">
        <v>131</v>
      </c>
      <c r="O73">
        <f>COUNTIF(N16:N68,"*jacinta*")</f>
        <v>2</v>
      </c>
      <c r="Q73" s="29" t="s">
        <v>35</v>
      </c>
      <c r="R73">
        <f>COUNTIF(Q16:Q67,"*emma*")</f>
        <v>9</v>
      </c>
      <c r="S73" s="20" t="s">
        <v>20</v>
      </c>
      <c r="T73">
        <f>COUNTIF(S16:S68,"*alex*")</f>
        <v>9</v>
      </c>
    </row>
    <row r="74" spans="2:21" x14ac:dyDescent="0.25">
      <c r="K74" s="14" t="s">
        <v>91</v>
      </c>
      <c r="L74">
        <f>COUNTIF(L17:L68,"*eva*")</f>
        <v>11</v>
      </c>
      <c r="N74" s="14" t="s">
        <v>147</v>
      </c>
      <c r="O74">
        <f>COUNTIF(N16:N68,"*emily*")</f>
        <v>2</v>
      </c>
      <c r="Q74" s="29" t="s">
        <v>33</v>
      </c>
      <c r="R74">
        <f>COUNTIF(Q18:Q67,"*john*")</f>
        <v>7</v>
      </c>
      <c r="S74" s="24" t="s">
        <v>3</v>
      </c>
      <c r="T74">
        <f>COUNTIF(S18:S68,"*jess*")</f>
        <v>7</v>
      </c>
    </row>
    <row r="75" spans="2:21" x14ac:dyDescent="0.25">
      <c r="N75" s="14" t="s">
        <v>132</v>
      </c>
      <c r="O75">
        <f>COUNTIF(N16:N68,"*bronte*")</f>
        <v>2</v>
      </c>
      <c r="Q75" s="30" t="s">
        <v>30</v>
      </c>
      <c r="R75">
        <f>COUNTIF(Q16:Q67,"*sasha*")</f>
        <v>7</v>
      </c>
      <c r="S75" s="13" t="s">
        <v>24</v>
      </c>
      <c r="T75">
        <f>COUNTIF(S16:S68,"*Dav*")</f>
        <v>7</v>
      </c>
    </row>
    <row r="76" spans="2:21" x14ac:dyDescent="0.25">
      <c r="N76" s="14" t="s">
        <v>121</v>
      </c>
      <c r="O76">
        <f>COUNTIF(N16:N68,"*cham*")</f>
        <v>1</v>
      </c>
      <c r="Q76" s="30" t="s">
        <v>22</v>
      </c>
      <c r="R76">
        <f>COUNTIF(Q16:Q67,"*chamara*")</f>
        <v>7</v>
      </c>
      <c r="S76" s="13" t="s">
        <v>27</v>
      </c>
      <c r="T76">
        <f>COUNTIF(S16:S68,"*Tim*")</f>
        <v>7</v>
      </c>
    </row>
    <row r="77" spans="2:21" x14ac:dyDescent="0.25">
      <c r="N77" s="14" t="s">
        <v>122</v>
      </c>
      <c r="O77">
        <f>COUNTIF(N16:N68,"*cameron*")</f>
        <v>1</v>
      </c>
      <c r="Q77" s="30" t="s">
        <v>31</v>
      </c>
      <c r="R77">
        <f>COUNTIF(Q16:Q67,"*julie*")</f>
        <v>7</v>
      </c>
      <c r="S77" s="20" t="s">
        <v>38</v>
      </c>
      <c r="T77">
        <f>COUNTIF(S16:S68,"*barb*")</f>
        <v>7</v>
      </c>
    </row>
    <row r="78" spans="2:21" x14ac:dyDescent="0.25">
      <c r="N78" s="14" t="s">
        <v>123</v>
      </c>
      <c r="O78">
        <f>COUNTIF(N16:N68,"*rob*")</f>
        <v>1</v>
      </c>
      <c r="Q78" s="30" t="s">
        <v>23</v>
      </c>
      <c r="R78">
        <f>COUNTIF(Q16:Q67,"*ola*")</f>
        <v>7</v>
      </c>
      <c r="S78" s="20" t="s">
        <v>40</v>
      </c>
      <c r="T78">
        <f>COUNTIF(S16:S68,"*marno*")</f>
        <v>7</v>
      </c>
    </row>
    <row r="79" spans="2:21" x14ac:dyDescent="0.25">
      <c r="N79" s="6" t="s">
        <v>124</v>
      </c>
      <c r="O79" s="74"/>
    </row>
    <row r="80" spans="2:21" x14ac:dyDescent="0.25">
      <c r="N80" s="6" t="s">
        <v>125</v>
      </c>
      <c r="O80" s="74"/>
    </row>
    <row r="81" spans="14:15" x14ac:dyDescent="0.25">
      <c r="N81" s="6" t="s">
        <v>126</v>
      </c>
      <c r="O81" s="74"/>
    </row>
    <row r="82" spans="14:15" x14ac:dyDescent="0.25">
      <c r="N82" s="6" t="s">
        <v>128</v>
      </c>
      <c r="O82" s="74"/>
    </row>
    <row r="83" spans="14:15" x14ac:dyDescent="0.25">
      <c r="N83" s="14" t="s">
        <v>164</v>
      </c>
      <c r="O83">
        <f>COUNTIF(N16:N68,"*de greg*")</f>
        <v>1</v>
      </c>
    </row>
    <row r="84" spans="14:15" x14ac:dyDescent="0.25">
      <c r="N84" s="14" t="s">
        <v>161</v>
      </c>
      <c r="O84">
        <f>COUNTIF(N16:N68,"*tony he*")</f>
        <v>2</v>
      </c>
    </row>
    <row r="85" spans="14:15" x14ac:dyDescent="0.25">
      <c r="N85" s="14" t="s">
        <v>127</v>
      </c>
      <c r="O85">
        <f>COUNTIF(N16:N68,"*demed*")</f>
        <v>1</v>
      </c>
    </row>
    <row r="86" spans="14:15" x14ac:dyDescent="0.25">
      <c r="N86" s="14" t="s">
        <v>129</v>
      </c>
      <c r="O86">
        <f>COUNTIF(N16:N68,"*ding*")</f>
        <v>1</v>
      </c>
    </row>
    <row r="87" spans="14:15" x14ac:dyDescent="0.25">
      <c r="N87" s="14" t="s">
        <v>153</v>
      </c>
      <c r="O87">
        <f>COUNTIF(N16:N68,"*farrell*")</f>
        <v>1</v>
      </c>
    </row>
    <row r="88" spans="14:15" x14ac:dyDescent="0.25">
      <c r="N88" s="14" t="s">
        <v>154</v>
      </c>
      <c r="O88">
        <f>COUNTIF(N16:N68,"*fehily*")</f>
        <v>1</v>
      </c>
    </row>
    <row r="89" spans="14:15" x14ac:dyDescent="0.25">
      <c r="N89" s="14" t="s">
        <v>130</v>
      </c>
      <c r="O89">
        <f>COUNTIF(N16:N68,"*flanagan*")</f>
        <v>1</v>
      </c>
    </row>
    <row r="90" spans="14:15" x14ac:dyDescent="0.25">
      <c r="N90" s="14" t="s">
        <v>133</v>
      </c>
      <c r="O90">
        <f>COUNTIF(N16:N68,"*hong*")</f>
        <v>1</v>
      </c>
    </row>
    <row r="91" spans="14:15" x14ac:dyDescent="0.25">
      <c r="N91" s="14" t="s">
        <v>170</v>
      </c>
      <c r="O91">
        <f>COUNTIF(N16:N68,"*howell*")</f>
        <v>1</v>
      </c>
    </row>
    <row r="92" spans="14:15" x14ac:dyDescent="0.25">
      <c r="N92" s="14" t="s">
        <v>135</v>
      </c>
      <c r="O92">
        <f>COUNTIF(N16:N68,"*iser*")</f>
        <v>1</v>
      </c>
    </row>
    <row r="93" spans="14:15" x14ac:dyDescent="0.25">
      <c r="N93" s="14" t="s">
        <v>136</v>
      </c>
      <c r="O93">
        <f>COUNTIF(N16:N68,"*fiona*")</f>
        <v>1</v>
      </c>
    </row>
    <row r="94" spans="14:15" x14ac:dyDescent="0.25">
      <c r="N94" s="6" t="s">
        <v>137</v>
      </c>
      <c r="O94" s="74"/>
    </row>
    <row r="95" spans="14:15" x14ac:dyDescent="0.25">
      <c r="N95" s="14" t="s">
        <v>157</v>
      </c>
      <c r="O95">
        <f>COUNTIF(N16:N68,"*lovett*")</f>
        <v>1</v>
      </c>
    </row>
    <row r="96" spans="14:15" x14ac:dyDescent="0.25">
      <c r="N96" s="14" t="s">
        <v>138</v>
      </c>
      <c r="O96">
        <f>COUNTIF(N16:N68,"*lust*")</f>
        <v>1</v>
      </c>
    </row>
    <row r="97" spans="14:15" x14ac:dyDescent="0.25">
      <c r="N97" s="6" t="s">
        <v>139</v>
      </c>
      <c r="O97" s="74"/>
    </row>
    <row r="98" spans="14:15" x14ac:dyDescent="0.25">
      <c r="N98" s="14" t="s">
        <v>140</v>
      </c>
      <c r="O98">
        <f>COUNTIF(N16:N68,"*miller*")</f>
        <v>1</v>
      </c>
    </row>
    <row r="99" spans="14:15" x14ac:dyDescent="0.25">
      <c r="N99" s="14" t="s">
        <v>141</v>
      </c>
      <c r="O99">
        <f>COUNTIF(N16:N68,"*ola*")</f>
        <v>2</v>
      </c>
    </row>
    <row r="100" spans="14:15" x14ac:dyDescent="0.25">
      <c r="N100" s="14" t="s">
        <v>142</v>
      </c>
      <c r="O100">
        <f>COUNTIF(N16:N68,"*papaluca*")</f>
        <v>1</v>
      </c>
    </row>
    <row r="101" spans="14:15" x14ac:dyDescent="0.25">
      <c r="N101" s="14" t="s">
        <v>163</v>
      </c>
      <c r="O101">
        <f>COUNTIF(N16:N68,"*ralley*")</f>
        <v>1</v>
      </c>
    </row>
    <row r="102" spans="14:15" x14ac:dyDescent="0.25">
      <c r="N102" s="14" t="s">
        <v>143</v>
      </c>
      <c r="O102">
        <f>COUNTIF(N16:N68,"*marno*")</f>
        <v>2</v>
      </c>
    </row>
    <row r="103" spans="14:15" x14ac:dyDescent="0.25">
      <c r="N103" s="14" t="s">
        <v>144</v>
      </c>
      <c r="O103">
        <f>COUNTIF(N16:N68,"*schulberg*")</f>
        <v>1</v>
      </c>
    </row>
    <row r="104" spans="14:15" x14ac:dyDescent="0.25">
      <c r="N104" s="14" t="s">
        <v>145</v>
      </c>
      <c r="O104">
        <f>COUNTIF(N16:N68,"*taylor*")</f>
        <v>1</v>
      </c>
    </row>
    <row r="105" spans="14:15" x14ac:dyDescent="0.25">
      <c r="N105" s="14" t="s">
        <v>146</v>
      </c>
      <c r="O105">
        <f>COUNTIF(N16:N68,"*tsoi*")</f>
        <v>2</v>
      </c>
    </row>
    <row r="106" spans="14:15" x14ac:dyDescent="0.25">
      <c r="N106" s="14" t="s">
        <v>148</v>
      </c>
      <c r="O106">
        <f>COUNTIF(N16:N68,"*yang*")</f>
        <v>1</v>
      </c>
    </row>
    <row r="107" spans="14:15" x14ac:dyDescent="0.25">
      <c r="O107"/>
    </row>
    <row r="108" spans="14:15" x14ac:dyDescent="0.25">
      <c r="N108" s="33" t="s">
        <v>150</v>
      </c>
      <c r="O108"/>
    </row>
    <row r="109" spans="14:15" x14ac:dyDescent="0.25">
      <c r="N109" s="6" t="s">
        <v>151</v>
      </c>
      <c r="O109" s="74"/>
    </row>
    <row r="110" spans="14:15" x14ac:dyDescent="0.25">
      <c r="N110" s="14" t="s">
        <v>160</v>
      </c>
      <c r="O110">
        <f>COUNTIF(N16:N68,"*clark*")</f>
        <v>2</v>
      </c>
    </row>
    <row r="111" spans="14:15" x14ac:dyDescent="0.25">
      <c r="N111" s="14" t="s">
        <v>165</v>
      </c>
      <c r="O111">
        <f>COUNTIF(N16:N68,"*declan*")</f>
        <v>2</v>
      </c>
    </row>
    <row r="112" spans="14:15" x14ac:dyDescent="0.25">
      <c r="N112" s="14" t="s">
        <v>158</v>
      </c>
      <c r="O112">
        <f>COUNTIF(N16:N68,"*tara*")</f>
        <v>2</v>
      </c>
    </row>
    <row r="113" spans="14:15" x14ac:dyDescent="0.25">
      <c r="N113" s="14" t="s">
        <v>152</v>
      </c>
      <c r="O113">
        <f>COUNTIF(N16:N68,"*gazelakis*")</f>
        <v>2</v>
      </c>
    </row>
    <row r="114" spans="14:15" x14ac:dyDescent="0.25">
      <c r="N114" s="14" t="s">
        <v>155</v>
      </c>
      <c r="O114">
        <f>COUNTIF(N16:N68,"*imogen*")</f>
        <v>2</v>
      </c>
    </row>
    <row r="115" spans="14:15" x14ac:dyDescent="0.25">
      <c r="N115" s="14" t="s">
        <v>156</v>
      </c>
      <c r="O115">
        <f>COUNTIF(N16:N68,"*tanya*")</f>
        <v>2</v>
      </c>
    </row>
    <row r="116" spans="14:15" x14ac:dyDescent="0.25">
      <c r="N116" s="14" t="s">
        <v>169</v>
      </c>
      <c r="O116">
        <f>COUNTIF(N16:N68,"*phan*")</f>
        <v>2</v>
      </c>
    </row>
    <row r="117" spans="14:15" x14ac:dyDescent="0.25">
      <c r="N117" s="6" t="s">
        <v>162</v>
      </c>
      <c r="O117" s="74"/>
    </row>
    <row r="118" spans="14:15" x14ac:dyDescent="0.25">
      <c r="N118" s="14" t="s">
        <v>149</v>
      </c>
      <c r="O118">
        <f>COUNTIF(N16:N68,"*kyle*")</f>
        <v>2</v>
      </c>
    </row>
    <row r="119" spans="14:15" x14ac:dyDescent="0.25">
      <c r="N119"/>
      <c r="O119"/>
    </row>
    <row r="121" spans="14:15" x14ac:dyDescent="0.25">
      <c r="N121"/>
    </row>
    <row r="122" spans="14:15" x14ac:dyDescent="0.25">
      <c r="N122"/>
    </row>
    <row r="123" spans="14:15" x14ac:dyDescent="0.25">
      <c r="N123"/>
    </row>
    <row r="124" spans="14:15" x14ac:dyDescent="0.25">
      <c r="N124"/>
    </row>
    <row r="125" spans="14:15" x14ac:dyDescent="0.25">
      <c r="N125"/>
    </row>
    <row r="126" spans="14:15" x14ac:dyDescent="0.25">
      <c r="N126"/>
    </row>
  </sheetData>
  <pageMargins left="0.7" right="0.7" top="0.75" bottom="0.75" header="0.3" footer="0.3"/>
  <pageSetup paperSize="12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0"/>
  <sheetViews>
    <sheetView zoomScale="75" zoomScaleNormal="75" workbookViewId="0">
      <selection activeCell="E40" sqref="E40"/>
    </sheetView>
  </sheetViews>
  <sheetFormatPr defaultRowHeight="15" x14ac:dyDescent="0.25"/>
  <cols>
    <col min="2" max="2" width="26.42578125" customWidth="1"/>
  </cols>
  <sheetData>
    <row r="1" spans="2:6" x14ac:dyDescent="0.25">
      <c r="B1" s="73" t="s">
        <v>166</v>
      </c>
    </row>
    <row r="2" spans="2:6" x14ac:dyDescent="0.25">
      <c r="B2" s="14" t="s">
        <v>121</v>
      </c>
    </row>
    <row r="3" spans="2:6" x14ac:dyDescent="0.25">
      <c r="B3" s="14" t="s">
        <v>122</v>
      </c>
    </row>
    <row r="4" spans="2:6" x14ac:dyDescent="0.25">
      <c r="B4" s="14" t="s">
        <v>123</v>
      </c>
    </row>
    <row r="5" spans="2:6" x14ac:dyDescent="0.25">
      <c r="B5" s="14" t="s">
        <v>124</v>
      </c>
    </row>
    <row r="6" spans="2:6" x14ac:dyDescent="0.25">
      <c r="B6" s="6" t="s">
        <v>125</v>
      </c>
    </row>
    <row r="7" spans="2:6" x14ac:dyDescent="0.25">
      <c r="B7" s="6" t="s">
        <v>126</v>
      </c>
    </row>
    <row r="8" spans="2:6" x14ac:dyDescent="0.25">
      <c r="B8" s="6" t="s">
        <v>128</v>
      </c>
    </row>
    <row r="9" spans="2:6" x14ac:dyDescent="0.25">
      <c r="B9" s="14" t="s">
        <v>164</v>
      </c>
    </row>
    <row r="10" spans="2:6" x14ac:dyDescent="0.25">
      <c r="B10" s="14" t="s">
        <v>161</v>
      </c>
    </row>
    <row r="11" spans="2:6" x14ac:dyDescent="0.25">
      <c r="B11" s="14" t="s">
        <v>127</v>
      </c>
    </row>
    <row r="12" spans="2:6" x14ac:dyDescent="0.25">
      <c r="B12" s="14" t="s">
        <v>129</v>
      </c>
    </row>
    <row r="13" spans="2:6" x14ac:dyDescent="0.25">
      <c r="B13" s="14" t="s">
        <v>153</v>
      </c>
    </row>
    <row r="14" spans="2:6" x14ac:dyDescent="0.25">
      <c r="B14" s="14" t="s">
        <v>154</v>
      </c>
    </row>
    <row r="15" spans="2:6" x14ac:dyDescent="0.25">
      <c r="B15" s="14" t="s">
        <v>130</v>
      </c>
      <c r="F15" s="2"/>
    </row>
    <row r="16" spans="2:6" x14ac:dyDescent="0.25">
      <c r="B16" s="14" t="s">
        <v>131</v>
      </c>
    </row>
    <row r="17" spans="2:2" x14ac:dyDescent="0.25">
      <c r="B17" s="14" t="s">
        <v>132</v>
      </c>
    </row>
    <row r="18" spans="2:2" x14ac:dyDescent="0.25">
      <c r="B18" s="14" t="s">
        <v>133</v>
      </c>
    </row>
    <row r="19" spans="2:2" x14ac:dyDescent="0.25">
      <c r="B19" s="14" t="s">
        <v>134</v>
      </c>
    </row>
    <row r="20" spans="2:2" x14ac:dyDescent="0.25">
      <c r="B20" s="14" t="s">
        <v>135</v>
      </c>
    </row>
    <row r="21" spans="2:2" x14ac:dyDescent="0.25">
      <c r="B21" s="14" t="s">
        <v>136</v>
      </c>
    </row>
    <row r="22" spans="2:2" x14ac:dyDescent="0.25">
      <c r="B22" s="6" t="s">
        <v>137</v>
      </c>
    </row>
    <row r="23" spans="2:2" x14ac:dyDescent="0.25">
      <c r="B23" s="14" t="s">
        <v>157</v>
      </c>
    </row>
    <row r="24" spans="2:2" x14ac:dyDescent="0.25">
      <c r="B24" s="14" t="s">
        <v>138</v>
      </c>
    </row>
    <row r="25" spans="2:2" x14ac:dyDescent="0.25">
      <c r="B25" s="6" t="s">
        <v>139</v>
      </c>
    </row>
    <row r="26" spans="2:2" x14ac:dyDescent="0.25">
      <c r="B26" s="14" t="s">
        <v>140</v>
      </c>
    </row>
    <row r="27" spans="2:2" x14ac:dyDescent="0.25">
      <c r="B27" s="14" t="s">
        <v>141</v>
      </c>
    </row>
    <row r="28" spans="2:2" x14ac:dyDescent="0.25">
      <c r="B28" s="14" t="s">
        <v>142</v>
      </c>
    </row>
    <row r="29" spans="2:2" x14ac:dyDescent="0.25">
      <c r="B29" s="14" t="s">
        <v>163</v>
      </c>
    </row>
    <row r="30" spans="2:2" x14ac:dyDescent="0.25">
      <c r="B30" s="14" t="s">
        <v>143</v>
      </c>
    </row>
    <row r="31" spans="2:2" x14ac:dyDescent="0.25">
      <c r="B31" s="14" t="s">
        <v>144</v>
      </c>
    </row>
    <row r="32" spans="2:2" x14ac:dyDescent="0.25">
      <c r="B32" s="14" t="s">
        <v>145</v>
      </c>
    </row>
    <row r="33" spans="2:2" x14ac:dyDescent="0.25">
      <c r="B33" s="14" t="s">
        <v>146</v>
      </c>
    </row>
    <row r="34" spans="2:2" x14ac:dyDescent="0.25">
      <c r="B34" s="14" t="s">
        <v>147</v>
      </c>
    </row>
    <row r="35" spans="2:2" x14ac:dyDescent="0.25">
      <c r="B35" s="14" t="s">
        <v>148</v>
      </c>
    </row>
    <row r="36" spans="2:2" x14ac:dyDescent="0.25">
      <c r="B36" s="2"/>
    </row>
    <row r="37" spans="2:2" x14ac:dyDescent="0.25">
      <c r="B37" s="33" t="s">
        <v>150</v>
      </c>
    </row>
    <row r="38" spans="2:2" x14ac:dyDescent="0.25">
      <c r="B38" s="14" t="s">
        <v>151</v>
      </c>
    </row>
    <row r="39" spans="2:2" x14ac:dyDescent="0.25">
      <c r="B39" s="14" t="s">
        <v>160</v>
      </c>
    </row>
    <row r="40" spans="2:2" x14ac:dyDescent="0.25">
      <c r="B40" s="14" t="s">
        <v>165</v>
      </c>
    </row>
    <row r="41" spans="2:2" x14ac:dyDescent="0.25">
      <c r="B41" s="14" t="s">
        <v>158</v>
      </c>
    </row>
    <row r="42" spans="2:2" x14ac:dyDescent="0.25">
      <c r="B42" s="14" t="s">
        <v>152</v>
      </c>
    </row>
    <row r="43" spans="2:2" x14ac:dyDescent="0.25">
      <c r="B43" s="14" t="s">
        <v>155</v>
      </c>
    </row>
    <row r="44" spans="2:2" x14ac:dyDescent="0.25">
      <c r="B44" s="14" t="s">
        <v>156</v>
      </c>
    </row>
    <row r="45" spans="2:2" x14ac:dyDescent="0.25">
      <c r="B45" s="14" t="s">
        <v>159</v>
      </c>
    </row>
    <row r="46" spans="2:2" x14ac:dyDescent="0.25">
      <c r="B46" s="14" t="s">
        <v>149</v>
      </c>
    </row>
    <row r="47" spans="2:2" x14ac:dyDescent="0.25">
      <c r="B47" s="2"/>
    </row>
    <row r="48" spans="2:2" x14ac:dyDescent="0.25">
      <c r="B48" s="2"/>
    </row>
    <row r="49" spans="2:2" x14ac:dyDescent="0.25">
      <c r="B49" s="2"/>
    </row>
    <row r="50" spans="2:2" x14ac:dyDescent="0.25">
      <c r="B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SVHA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Thompson - SVHM</dc:creator>
  <cp:lastModifiedBy>Alexander Thompson - SVHM</cp:lastModifiedBy>
  <dcterms:created xsi:type="dcterms:W3CDTF">2025-05-28T08:01:01Z</dcterms:created>
  <dcterms:modified xsi:type="dcterms:W3CDTF">2026-01-26T22:39:50Z</dcterms:modified>
</cp:coreProperties>
</file>